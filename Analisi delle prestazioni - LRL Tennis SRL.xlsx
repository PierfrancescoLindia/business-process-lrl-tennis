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494a0d5b4b2028/Desktop/Progetto PB/"/>
    </mc:Choice>
  </mc:AlternateContent>
  <xr:revisionPtr revIDLastSave="18" documentId="13_ncr:1_{08AF49F5-8B81-45FD-95F6-084FF90BA415}" xr6:coauthVersionLast="47" xr6:coauthVersionMax="47" xr10:uidLastSave="{6A2E266F-8AD6-47A3-9975-49C146899AA7}"/>
  <bookViews>
    <workbookView xWindow="-108" yWindow="-108" windowWidth="23256" windowHeight="12576" xr2:uid="{5812EC82-F627-4289-8F72-37BFB65A893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J24" i="1" l="1"/>
  <c r="GJ31" i="1"/>
  <c r="GJ30" i="1"/>
  <c r="GJ29" i="1"/>
  <c r="GL29" i="1" s="1"/>
  <c r="GM29" i="1" s="1"/>
  <c r="GL28" i="1"/>
  <c r="GJ28" i="1"/>
  <c r="GM28" i="1" s="1"/>
  <c r="GJ27" i="1"/>
  <c r="GL26" i="1"/>
  <c r="GM26" i="1" s="1"/>
  <c r="GJ26" i="1"/>
  <c r="GL25" i="1"/>
  <c r="GM25" i="1" s="1"/>
  <c r="GJ25" i="1"/>
  <c r="GL24" i="1"/>
  <c r="GM24" i="1"/>
  <c r="GJ23" i="1"/>
  <c r="GL23" i="1" s="1"/>
  <c r="GJ22" i="1"/>
  <c r="GL22" i="1" s="1"/>
  <c r="GM22" i="1" l="1"/>
  <c r="GM23" i="1"/>
  <c r="GL27" i="1"/>
  <c r="GM27" i="1" s="1"/>
  <c r="GL30" i="1"/>
  <c r="GM30" i="1" s="1"/>
  <c r="GL31" i="1"/>
  <c r="GM31" i="1" s="1"/>
  <c r="CI31" i="1"/>
  <c r="CI30" i="1"/>
  <c r="CI29" i="1"/>
  <c r="CI28" i="1"/>
  <c r="CI27" i="1"/>
  <c r="CI26" i="1"/>
  <c r="CI25" i="1"/>
  <c r="CI24" i="1"/>
  <c r="CI23" i="1"/>
  <c r="CI22" i="1"/>
  <c r="BI31" i="1"/>
  <c r="BI30" i="1"/>
  <c r="BI29" i="1"/>
  <c r="BI28" i="1"/>
  <c r="BI27" i="1"/>
  <c r="BI26" i="1"/>
  <c r="BI25" i="1"/>
  <c r="BI24" i="1"/>
  <c r="BI23" i="1"/>
  <c r="BI22" i="1"/>
  <c r="C7" i="1"/>
  <c r="C8" i="1"/>
  <c r="F7" i="1"/>
  <c r="F8" i="1"/>
  <c r="F9" i="1"/>
  <c r="F10" i="1"/>
  <c r="F11" i="1"/>
  <c r="F12" i="1"/>
  <c r="F13" i="1"/>
  <c r="F14" i="1"/>
  <c r="F15" i="1"/>
  <c r="F16" i="1"/>
  <c r="FV16" i="1" l="1"/>
  <c r="FV15" i="1"/>
  <c r="FV14" i="1"/>
  <c r="FV13" i="1"/>
  <c r="FV12" i="1"/>
  <c r="FV11" i="1"/>
  <c r="FV10" i="1"/>
  <c r="FV9" i="1"/>
  <c r="FV8" i="1"/>
  <c r="FV7" i="1"/>
  <c r="FI16" i="1"/>
  <c r="FI15" i="1"/>
  <c r="FI14" i="1"/>
  <c r="FI13" i="1"/>
  <c r="FI12" i="1"/>
  <c r="FI11" i="1"/>
  <c r="FI10" i="1"/>
  <c r="FI9" i="1"/>
  <c r="FI8" i="1"/>
  <c r="FI7" i="1"/>
  <c r="EV16" i="1"/>
  <c r="EV15" i="1"/>
  <c r="EV14" i="1"/>
  <c r="EV13" i="1"/>
  <c r="EV12" i="1"/>
  <c r="EV11" i="1"/>
  <c r="EV10" i="1"/>
  <c r="EV9" i="1"/>
  <c r="EV8" i="1"/>
  <c r="EV7" i="1"/>
  <c r="EI16" i="1"/>
  <c r="EI15" i="1"/>
  <c r="EI14" i="1"/>
  <c r="EI13" i="1"/>
  <c r="EI12" i="1"/>
  <c r="EI11" i="1"/>
  <c r="EI10" i="1"/>
  <c r="EI9" i="1"/>
  <c r="EI8" i="1"/>
  <c r="EI7" i="1"/>
  <c r="DV16" i="1"/>
  <c r="DV15" i="1"/>
  <c r="DV14" i="1"/>
  <c r="DV13" i="1"/>
  <c r="DV12" i="1"/>
  <c r="DV11" i="1"/>
  <c r="DV10" i="1"/>
  <c r="DV9" i="1"/>
  <c r="DV8" i="1"/>
  <c r="DV7" i="1"/>
  <c r="DI16" i="1"/>
  <c r="DI15" i="1"/>
  <c r="DI14" i="1"/>
  <c r="DI13" i="1"/>
  <c r="DI12" i="1"/>
  <c r="DI11" i="1"/>
  <c r="DI10" i="1"/>
  <c r="DI9" i="1"/>
  <c r="DI8" i="1"/>
  <c r="DI7" i="1"/>
  <c r="CV16" i="1"/>
  <c r="CV15" i="1"/>
  <c r="CV14" i="1"/>
  <c r="CV13" i="1"/>
  <c r="CV12" i="1"/>
  <c r="CV11" i="1"/>
  <c r="CV10" i="1"/>
  <c r="CV9" i="1"/>
  <c r="CV8" i="1"/>
  <c r="CV7" i="1"/>
  <c r="CI16" i="1"/>
  <c r="CI15" i="1"/>
  <c r="CI14" i="1"/>
  <c r="CI13" i="1"/>
  <c r="CI12" i="1"/>
  <c r="CI11" i="1"/>
  <c r="CI10" i="1"/>
  <c r="CI9" i="1"/>
  <c r="CI8" i="1"/>
  <c r="CI7" i="1"/>
  <c r="BV16" i="1"/>
  <c r="BV15" i="1"/>
  <c r="BV14" i="1"/>
  <c r="BV13" i="1"/>
  <c r="BV12" i="1"/>
  <c r="BV11" i="1"/>
  <c r="BV10" i="1"/>
  <c r="BV9" i="1"/>
  <c r="BV8" i="1"/>
  <c r="BV7" i="1"/>
  <c r="BI16" i="1"/>
  <c r="BI15" i="1"/>
  <c r="BI14" i="1"/>
  <c r="BI13" i="1"/>
  <c r="BI12" i="1"/>
  <c r="BI11" i="1"/>
  <c r="BI10" i="1"/>
  <c r="BI9" i="1"/>
  <c r="BI8" i="1"/>
  <c r="BI7" i="1"/>
  <c r="AV16" i="1"/>
  <c r="AV15" i="1"/>
  <c r="AV14" i="1"/>
  <c r="AV13" i="1"/>
  <c r="AV12" i="1"/>
  <c r="AV11" i="1"/>
  <c r="AV10" i="1"/>
  <c r="AV9" i="1"/>
  <c r="AV8" i="1"/>
  <c r="AV7" i="1"/>
  <c r="AI16" i="1"/>
  <c r="AI15" i="1"/>
  <c r="AI14" i="1"/>
  <c r="AI13" i="1"/>
  <c r="AI12" i="1"/>
  <c r="AI11" i="1"/>
  <c r="AI10" i="1"/>
  <c r="AI9" i="1"/>
  <c r="AI8" i="1"/>
  <c r="AI7" i="1"/>
  <c r="Q8" i="1" l="1"/>
  <c r="V16" i="1"/>
  <c r="V15" i="1"/>
  <c r="V14" i="1"/>
  <c r="V13" i="1"/>
  <c r="V12" i="1"/>
  <c r="V11" i="1"/>
  <c r="V10" i="1"/>
  <c r="V9" i="1"/>
  <c r="V8" i="1"/>
  <c r="V7" i="1"/>
  <c r="S11" i="1" l="1"/>
  <c r="S13" i="1"/>
  <c r="I16" i="1"/>
  <c r="I15" i="1"/>
  <c r="I14" i="1"/>
  <c r="I13" i="1"/>
  <c r="I12" i="1"/>
  <c r="I11" i="1"/>
  <c r="I10" i="1"/>
  <c r="I9" i="1"/>
  <c r="I8" i="1"/>
  <c r="I7" i="1"/>
  <c r="AS13" i="1" l="1"/>
  <c r="BF28" i="1" s="1"/>
  <c r="BH28" i="1" s="1"/>
  <c r="AF13" i="1"/>
  <c r="AH13" i="1" s="1"/>
  <c r="AJ13" i="1" s="1"/>
  <c r="AK13" i="1" s="1"/>
  <c r="U13" i="1"/>
  <c r="W13" i="1" s="1"/>
  <c r="X13" i="1" s="1"/>
  <c r="H11" i="1"/>
  <c r="J11" i="1" s="1"/>
  <c r="K11" i="1" s="1"/>
  <c r="L11" i="1" s="1"/>
  <c r="H7" i="1"/>
  <c r="J7" i="1" s="1"/>
  <c r="K7" i="1" s="1"/>
  <c r="L7" i="1" s="1"/>
  <c r="S7" i="1"/>
  <c r="H9" i="1"/>
  <c r="J9" i="1" s="1"/>
  <c r="K9" i="1" s="1"/>
  <c r="S9" i="1"/>
  <c r="H8" i="1"/>
  <c r="J8" i="1" s="1"/>
  <c r="K8" i="1" s="1"/>
  <c r="M8" i="1" s="1"/>
  <c r="N8" i="1" s="1"/>
  <c r="S8" i="1"/>
  <c r="AF11" i="1"/>
  <c r="AH11" i="1" s="1"/>
  <c r="AJ11" i="1" s="1"/>
  <c r="AK11" i="1" s="1"/>
  <c r="AS11" i="1"/>
  <c r="BF26" i="1" s="1"/>
  <c r="BH26" i="1" s="1"/>
  <c r="U11" i="1"/>
  <c r="W11" i="1" s="1"/>
  <c r="X11" i="1" s="1"/>
  <c r="H16" i="1"/>
  <c r="J16" i="1" s="1"/>
  <c r="K16" i="1" s="1"/>
  <c r="M16" i="1" s="1"/>
  <c r="N16" i="1" s="1"/>
  <c r="S16" i="1"/>
  <c r="H15" i="1"/>
  <c r="J15" i="1" s="1"/>
  <c r="K15" i="1" s="1"/>
  <c r="S15" i="1"/>
  <c r="H12" i="1"/>
  <c r="J12" i="1" s="1"/>
  <c r="K12" i="1" s="1"/>
  <c r="S12" i="1"/>
  <c r="H10" i="1"/>
  <c r="J10" i="1" s="1"/>
  <c r="K10" i="1" s="1"/>
  <c r="M10" i="1" s="1"/>
  <c r="N10" i="1" s="1"/>
  <c r="S10" i="1"/>
  <c r="H13" i="1"/>
  <c r="J13" i="1" s="1"/>
  <c r="K13" i="1" s="1"/>
  <c r="M13" i="1" s="1"/>
  <c r="N13" i="1" s="1"/>
  <c r="H14" i="1"/>
  <c r="J14" i="1" s="1"/>
  <c r="K14" i="1" s="1"/>
  <c r="M14" i="1" s="1"/>
  <c r="N14" i="1" s="1"/>
  <c r="S14" i="1"/>
  <c r="BJ26" i="1" l="1"/>
  <c r="BK26" i="1" s="1"/>
  <c r="BJ28" i="1"/>
  <c r="BK28" i="1" s="1"/>
  <c r="L10" i="1"/>
  <c r="M11" i="1"/>
  <c r="N11" i="1" s="1"/>
  <c r="L14" i="1"/>
  <c r="L9" i="1"/>
  <c r="M9" i="1"/>
  <c r="N9" i="1" s="1"/>
  <c r="M15" i="1"/>
  <c r="N15" i="1" s="1"/>
  <c r="L15" i="1"/>
  <c r="L12" i="1"/>
  <c r="M12" i="1"/>
  <c r="N12" i="1" s="1"/>
  <c r="AF9" i="1"/>
  <c r="AH9" i="1" s="1"/>
  <c r="AJ9" i="1" s="1"/>
  <c r="AK9" i="1" s="1"/>
  <c r="AS9" i="1"/>
  <c r="BF24" i="1" s="1"/>
  <c r="BH24" i="1" s="1"/>
  <c r="U9" i="1"/>
  <c r="W9" i="1" s="1"/>
  <c r="X9" i="1" s="1"/>
  <c r="AF16" i="1"/>
  <c r="AH16" i="1" s="1"/>
  <c r="AJ16" i="1" s="1"/>
  <c r="AK16" i="1" s="1"/>
  <c r="AS16" i="1"/>
  <c r="BF31" i="1" s="1"/>
  <c r="BH31" i="1" s="1"/>
  <c r="U16" i="1"/>
  <c r="W16" i="1" s="1"/>
  <c r="X16" i="1" s="1"/>
  <c r="AF7" i="1"/>
  <c r="AH7" i="1" s="1"/>
  <c r="AJ7" i="1" s="1"/>
  <c r="AK7" i="1" s="1"/>
  <c r="AS7" i="1"/>
  <c r="BF22" i="1" s="1"/>
  <c r="BH22" i="1" s="1"/>
  <c r="U7" i="1"/>
  <c r="W7" i="1" s="1"/>
  <c r="X7" i="1" s="1"/>
  <c r="AS14" i="1"/>
  <c r="BF29" i="1" s="1"/>
  <c r="BH29" i="1" s="1"/>
  <c r="AF14" i="1"/>
  <c r="AH14" i="1" s="1"/>
  <c r="AJ14" i="1" s="1"/>
  <c r="AK14" i="1" s="1"/>
  <c r="U14" i="1"/>
  <c r="W14" i="1" s="1"/>
  <c r="X14" i="1" s="1"/>
  <c r="AS10" i="1"/>
  <c r="BF25" i="1" s="1"/>
  <c r="BH25" i="1" s="1"/>
  <c r="AF10" i="1"/>
  <c r="AH10" i="1" s="1"/>
  <c r="AJ10" i="1" s="1"/>
  <c r="AK10" i="1" s="1"/>
  <c r="U10" i="1"/>
  <c r="W10" i="1" s="1"/>
  <c r="X10" i="1" s="1"/>
  <c r="Z11" i="1"/>
  <c r="AA11" i="1" s="1"/>
  <c r="Y11" i="1"/>
  <c r="AU11" i="1"/>
  <c r="AW11" i="1" s="1"/>
  <c r="AX11" i="1" s="1"/>
  <c r="BF11" i="1"/>
  <c r="AF12" i="1"/>
  <c r="AH12" i="1" s="1"/>
  <c r="AJ12" i="1" s="1"/>
  <c r="AK12" i="1" s="1"/>
  <c r="AS12" i="1"/>
  <c r="BF27" i="1" s="1"/>
  <c r="BH27" i="1" s="1"/>
  <c r="U12" i="1"/>
  <c r="W12" i="1" s="1"/>
  <c r="X12" i="1" s="1"/>
  <c r="AL11" i="1"/>
  <c r="AM11" i="1"/>
  <c r="AN11" i="1" s="1"/>
  <c r="Y13" i="1"/>
  <c r="Z13" i="1"/>
  <c r="AA13" i="1" s="1"/>
  <c r="AF8" i="1"/>
  <c r="AH8" i="1" s="1"/>
  <c r="AJ8" i="1" s="1"/>
  <c r="AK8" i="1" s="1"/>
  <c r="AS8" i="1"/>
  <c r="BF23" i="1" s="1"/>
  <c r="BH23" i="1" s="1"/>
  <c r="U8" i="1"/>
  <c r="W8" i="1" s="1"/>
  <c r="X8" i="1" s="1"/>
  <c r="AM13" i="1"/>
  <c r="AN13" i="1" s="1"/>
  <c r="AL13" i="1"/>
  <c r="AF15" i="1"/>
  <c r="AH15" i="1" s="1"/>
  <c r="AJ15" i="1" s="1"/>
  <c r="AK15" i="1" s="1"/>
  <c r="AS15" i="1"/>
  <c r="BF30" i="1" s="1"/>
  <c r="BH30" i="1" s="1"/>
  <c r="U15" i="1"/>
  <c r="W15" i="1" s="1"/>
  <c r="X15" i="1" s="1"/>
  <c r="AU13" i="1"/>
  <c r="AW13" i="1" s="1"/>
  <c r="AX13" i="1" s="1"/>
  <c r="BF13" i="1"/>
  <c r="L8" i="1"/>
  <c r="L13" i="1"/>
  <c r="L16" i="1"/>
  <c r="M7" i="1"/>
  <c r="N7" i="1" s="1"/>
  <c r="BL28" i="1" l="1"/>
  <c r="BM28" i="1"/>
  <c r="BN28" i="1" s="1"/>
  <c r="BM26" i="1"/>
  <c r="BN26" i="1" s="1"/>
  <c r="BL26" i="1"/>
  <c r="BJ22" i="1"/>
  <c r="BK22" i="1" s="1"/>
  <c r="BJ31" i="1"/>
  <c r="BK31" i="1" s="1"/>
  <c r="BJ25" i="1"/>
  <c r="BK25" i="1" s="1"/>
  <c r="BJ23" i="1"/>
  <c r="BK23" i="1" s="1"/>
  <c r="BH11" i="1"/>
  <c r="CF26" i="1"/>
  <c r="CH26" i="1" s="1"/>
  <c r="CF11" i="1"/>
  <c r="BS11" i="1"/>
  <c r="BU11" i="1" s="1"/>
  <c r="BW11" i="1" s="1"/>
  <c r="BX11" i="1" s="1"/>
  <c r="BJ29" i="1"/>
  <c r="BK29" i="1" s="1"/>
  <c r="BK24" i="1"/>
  <c r="BJ24" i="1"/>
  <c r="BJ27" i="1"/>
  <c r="BK27" i="1" s="1"/>
  <c r="BH13" i="1"/>
  <c r="CF28" i="1"/>
  <c r="CH28" i="1" s="1"/>
  <c r="BS13" i="1"/>
  <c r="BU13" i="1" s="1"/>
  <c r="BW13" i="1" s="1"/>
  <c r="BX13" i="1" s="1"/>
  <c r="CF13" i="1"/>
  <c r="BJ30" i="1"/>
  <c r="BK30" i="1" s="1"/>
  <c r="AM9" i="1"/>
  <c r="AN9" i="1" s="1"/>
  <c r="AL9" i="1"/>
  <c r="Y15" i="1"/>
  <c r="Z15" i="1"/>
  <c r="AA15" i="1" s="1"/>
  <c r="AU14" i="1"/>
  <c r="AW14" i="1" s="1"/>
  <c r="AX14" i="1" s="1"/>
  <c r="BF14" i="1"/>
  <c r="AU15" i="1"/>
  <c r="AW15" i="1" s="1"/>
  <c r="AX15" i="1" s="1"/>
  <c r="BF15" i="1"/>
  <c r="AL15" i="1"/>
  <c r="AM15" i="1"/>
  <c r="AN15" i="1" s="1"/>
  <c r="AU7" i="1"/>
  <c r="AW7" i="1" s="1"/>
  <c r="AX7" i="1" s="1"/>
  <c r="BF7" i="1"/>
  <c r="AU9" i="1"/>
  <c r="AW9" i="1" s="1"/>
  <c r="AX9" i="1" s="1"/>
  <c r="BF9" i="1"/>
  <c r="Z10" i="1"/>
  <c r="AA10" i="1" s="1"/>
  <c r="Y10" i="1"/>
  <c r="AM10" i="1"/>
  <c r="AN10" i="1" s="1"/>
  <c r="AL10" i="1"/>
  <c r="Y16" i="1"/>
  <c r="Z16" i="1"/>
  <c r="AA16" i="1" s="1"/>
  <c r="AY11" i="1"/>
  <c r="AZ11" i="1"/>
  <c r="BA11" i="1" s="1"/>
  <c r="AM7" i="1"/>
  <c r="AN7" i="1" s="1"/>
  <c r="AL7" i="1"/>
  <c r="Y12" i="1"/>
  <c r="Z12" i="1"/>
  <c r="AA12" i="1" s="1"/>
  <c r="Z8" i="1"/>
  <c r="AA8" i="1" s="1"/>
  <c r="Y8" i="1"/>
  <c r="AU12" i="1"/>
  <c r="AW12" i="1" s="1"/>
  <c r="AX12" i="1" s="1"/>
  <c r="BF12" i="1"/>
  <c r="AU10" i="1"/>
  <c r="AW10" i="1" s="1"/>
  <c r="AX10" i="1" s="1"/>
  <c r="BF10" i="1"/>
  <c r="AU16" i="1"/>
  <c r="AW16" i="1" s="1"/>
  <c r="AX16" i="1" s="1"/>
  <c r="BF16" i="1"/>
  <c r="Z7" i="1"/>
  <c r="AA7" i="1" s="1"/>
  <c r="Y7" i="1"/>
  <c r="BF8" i="1"/>
  <c r="AU8" i="1"/>
  <c r="AW8" i="1" s="1"/>
  <c r="AX8" i="1" s="1"/>
  <c r="AM12" i="1"/>
  <c r="AN12" i="1" s="1"/>
  <c r="AL12" i="1"/>
  <c r="Z14" i="1"/>
  <c r="AA14" i="1" s="1"/>
  <c r="Y14" i="1"/>
  <c r="AM16" i="1"/>
  <c r="AN16" i="1" s="1"/>
  <c r="AL16" i="1"/>
  <c r="AY13" i="1"/>
  <c r="AZ13" i="1"/>
  <c r="BA13" i="1" s="1"/>
  <c r="AL8" i="1"/>
  <c r="AM8" i="1"/>
  <c r="AN8" i="1" s="1"/>
  <c r="AM14" i="1"/>
  <c r="AN14" i="1" s="1"/>
  <c r="AL14" i="1"/>
  <c r="Y9" i="1"/>
  <c r="Z9" i="1"/>
  <c r="AA9" i="1" s="1"/>
  <c r="C9" i="1"/>
  <c r="C10" i="1"/>
  <c r="C11" i="1"/>
  <c r="C12" i="1"/>
  <c r="C13" i="1"/>
  <c r="C14" i="1"/>
  <c r="C15" i="1"/>
  <c r="C16" i="1"/>
  <c r="BL23" i="1" l="1"/>
  <c r="BM23" i="1"/>
  <c r="BN23" i="1" s="1"/>
  <c r="BM27" i="1"/>
  <c r="BN27" i="1" s="1"/>
  <c r="BL27" i="1"/>
  <c r="BM31" i="1"/>
  <c r="BN31" i="1" s="1"/>
  <c r="BL31" i="1"/>
  <c r="BM22" i="1"/>
  <c r="BN22" i="1" s="1"/>
  <c r="BL22" i="1"/>
  <c r="BM25" i="1"/>
  <c r="BN25" i="1" s="1"/>
  <c r="BL25" i="1"/>
  <c r="BL30" i="1"/>
  <c r="BM30" i="1"/>
  <c r="BN30" i="1" s="1"/>
  <c r="CJ26" i="1"/>
  <c r="CK26" i="1" s="1"/>
  <c r="BH7" i="1"/>
  <c r="CF22" i="1"/>
  <c r="CH22" i="1" s="1"/>
  <c r="CJ22" i="1" s="1"/>
  <c r="CK22" i="1" s="1"/>
  <c r="CF7" i="1"/>
  <c r="BS7" i="1"/>
  <c r="BU7" i="1" s="1"/>
  <c r="BW7" i="1" s="1"/>
  <c r="BX7" i="1" s="1"/>
  <c r="BM29" i="1"/>
  <c r="BN29" i="1" s="1"/>
  <c r="BL29" i="1"/>
  <c r="BH8" i="1"/>
  <c r="CF23" i="1"/>
  <c r="CH23" i="1" s="1"/>
  <c r="CJ23" i="1" s="1"/>
  <c r="CK23" i="1" s="1"/>
  <c r="CF8" i="1"/>
  <c r="BS8" i="1"/>
  <c r="BU8" i="1" s="1"/>
  <c r="BW8" i="1" s="1"/>
  <c r="BX8" i="1" s="1"/>
  <c r="BH14" i="1"/>
  <c r="CF29" i="1"/>
  <c r="CH29" i="1" s="1"/>
  <c r="BS14" i="1"/>
  <c r="BU14" i="1" s="1"/>
  <c r="BW14" i="1" s="1"/>
  <c r="BX14" i="1" s="1"/>
  <c r="CF14" i="1"/>
  <c r="BH16" i="1"/>
  <c r="CF31" i="1"/>
  <c r="CH31" i="1" s="1"/>
  <c r="BS16" i="1"/>
  <c r="BU16" i="1" s="1"/>
  <c r="BW16" i="1" s="1"/>
  <c r="BX16" i="1" s="1"/>
  <c r="CF16" i="1"/>
  <c r="CS13" i="1"/>
  <c r="CH13" i="1"/>
  <c r="CJ13" i="1" s="1"/>
  <c r="BJ13" i="1"/>
  <c r="BL13" i="1" s="1"/>
  <c r="CC13" i="1" s="1"/>
  <c r="BH9" i="1"/>
  <c r="CF24" i="1"/>
  <c r="CH24" i="1" s="1"/>
  <c r="BS9" i="1"/>
  <c r="BU9" i="1" s="1"/>
  <c r="BW9" i="1" s="1"/>
  <c r="BX9" i="1" s="1"/>
  <c r="CF9" i="1"/>
  <c r="BJ11" i="1"/>
  <c r="BL11" i="1" s="1"/>
  <c r="BY13" i="1"/>
  <c r="BZ13" i="1"/>
  <c r="CA13" i="1" s="1"/>
  <c r="BM24" i="1"/>
  <c r="BN24" i="1" s="1"/>
  <c r="BL24" i="1"/>
  <c r="BY11" i="1"/>
  <c r="CC26" i="1" s="1"/>
  <c r="BZ11" i="1"/>
  <c r="CA11" i="1" s="1"/>
  <c r="CC28" i="1"/>
  <c r="BH12" i="1"/>
  <c r="CF27" i="1"/>
  <c r="CH27" i="1" s="1"/>
  <c r="CF12" i="1"/>
  <c r="BS12" i="1"/>
  <c r="BU12" i="1" s="1"/>
  <c r="BW12" i="1" s="1"/>
  <c r="BX12" i="1" s="1"/>
  <c r="BH10" i="1"/>
  <c r="CF25" i="1"/>
  <c r="CH25" i="1" s="1"/>
  <c r="CF10" i="1"/>
  <c r="BS10" i="1"/>
  <c r="BU10" i="1" s="1"/>
  <c r="BW10" i="1" s="1"/>
  <c r="BX10" i="1" s="1"/>
  <c r="BH15" i="1"/>
  <c r="CF30" i="1"/>
  <c r="CH30" i="1" s="1"/>
  <c r="BS15" i="1"/>
  <c r="BU15" i="1" s="1"/>
  <c r="BW15" i="1" s="1"/>
  <c r="BX15" i="1" s="1"/>
  <c r="CF15" i="1"/>
  <c r="CJ28" i="1"/>
  <c r="CK28" i="1" s="1"/>
  <c r="CS11" i="1"/>
  <c r="CH11" i="1"/>
  <c r="CJ11" i="1" s="1"/>
  <c r="AY16" i="1"/>
  <c r="AZ16" i="1"/>
  <c r="BA16" i="1" s="1"/>
  <c r="AZ8" i="1"/>
  <c r="BA8" i="1" s="1"/>
  <c r="AY8" i="1"/>
  <c r="AY12" i="1"/>
  <c r="AZ12" i="1"/>
  <c r="BA12" i="1" s="1"/>
  <c r="AZ9" i="1"/>
  <c r="BA9" i="1" s="1"/>
  <c r="AY9" i="1"/>
  <c r="AY14" i="1"/>
  <c r="AZ14" i="1"/>
  <c r="BA14" i="1" s="1"/>
  <c r="AY10" i="1"/>
  <c r="AZ10" i="1"/>
  <c r="BA10" i="1" s="1"/>
  <c r="AZ15" i="1"/>
  <c r="BA15" i="1" s="1"/>
  <c r="AY15" i="1"/>
  <c r="AY7" i="1"/>
  <c r="AZ7" i="1"/>
  <c r="BA7" i="1" s="1"/>
  <c r="CL28" i="1" l="1"/>
  <c r="CM28" i="1"/>
  <c r="CN28" i="1" s="1"/>
  <c r="CM26" i="1"/>
  <c r="CN26" i="1" s="1"/>
  <c r="CL26" i="1"/>
  <c r="BZ12" i="1"/>
  <c r="CA12" i="1" s="1"/>
  <c r="BY12" i="1"/>
  <c r="CC27" i="1" s="1"/>
  <c r="CJ24" i="1"/>
  <c r="CK24" i="1" s="1"/>
  <c r="BY16" i="1"/>
  <c r="BZ16" i="1"/>
  <c r="CA16" i="1" s="1"/>
  <c r="BY14" i="1"/>
  <c r="BZ14" i="1"/>
  <c r="CA14" i="1" s="1"/>
  <c r="BZ7" i="1"/>
  <c r="CA7" i="1" s="1"/>
  <c r="BY7" i="1"/>
  <c r="CC22" i="1" s="1"/>
  <c r="BZ9" i="1"/>
  <c r="CA9" i="1" s="1"/>
  <c r="BY9" i="1"/>
  <c r="CC24" i="1" s="1"/>
  <c r="CS12" i="1"/>
  <c r="CH12" i="1"/>
  <c r="CJ12" i="1" s="1"/>
  <c r="CL11" i="1"/>
  <c r="CK11" i="1"/>
  <c r="CM11" i="1" s="1"/>
  <c r="CN11" i="1" s="1"/>
  <c r="DF13" i="1"/>
  <c r="CU13" i="1"/>
  <c r="CW13" i="1" s="1"/>
  <c r="CX13" i="1" s="1"/>
  <c r="CS14" i="1"/>
  <c r="CH14" i="1"/>
  <c r="CC31" i="1"/>
  <c r="CJ31" i="1"/>
  <c r="CK31" i="1" s="1"/>
  <c r="CJ27" i="1"/>
  <c r="CK27" i="1" s="1"/>
  <c r="CM22" i="1"/>
  <c r="CN22" i="1" s="1"/>
  <c r="CL22" i="1"/>
  <c r="CC25" i="1"/>
  <c r="CS9" i="1"/>
  <c r="CH9" i="1"/>
  <c r="CJ9" i="1" s="1"/>
  <c r="BJ8" i="1"/>
  <c r="BL8" i="1" s="1"/>
  <c r="DF11" i="1"/>
  <c r="CU11" i="1"/>
  <c r="CW11" i="1" s="1"/>
  <c r="CX11" i="1" s="1"/>
  <c r="BY10" i="1"/>
  <c r="BZ10" i="1"/>
  <c r="CA10" i="1" s="1"/>
  <c r="BJ9" i="1"/>
  <c r="BL9" i="1" s="1"/>
  <c r="CJ29" i="1"/>
  <c r="CK29" i="1" s="1"/>
  <c r="CS7" i="1"/>
  <c r="CH7" i="1"/>
  <c r="CJ7" i="1" s="1"/>
  <c r="CS10" i="1"/>
  <c r="CH10" i="1"/>
  <c r="CJ10" i="1" s="1"/>
  <c r="BJ16" i="1"/>
  <c r="BL16" i="1" s="1"/>
  <c r="CC16" i="1" s="1"/>
  <c r="BJ14" i="1"/>
  <c r="BL14" i="1" s="1"/>
  <c r="CC14" i="1" s="1"/>
  <c r="CS15" i="1"/>
  <c r="CH15" i="1"/>
  <c r="CJ25" i="1"/>
  <c r="CK25" i="1" s="1"/>
  <c r="BJ12" i="1"/>
  <c r="BL12" i="1" s="1"/>
  <c r="BK13" i="1"/>
  <c r="BM13" i="1" s="1"/>
  <c r="BN13" i="1" s="1"/>
  <c r="BY8" i="1"/>
  <c r="CC23" i="1" s="1"/>
  <c r="BZ8" i="1"/>
  <c r="CA8" i="1" s="1"/>
  <c r="BJ7" i="1"/>
  <c r="BL7" i="1" s="1"/>
  <c r="CC7" i="1" s="1"/>
  <c r="CC29" i="1"/>
  <c r="BY15" i="1"/>
  <c r="BZ15" i="1"/>
  <c r="CA15" i="1" s="1"/>
  <c r="BJ15" i="1"/>
  <c r="BL15" i="1" s="1"/>
  <c r="CC15" i="1" s="1"/>
  <c r="CS16" i="1"/>
  <c r="CH16" i="1"/>
  <c r="CJ16" i="1" s="1"/>
  <c r="CC30" i="1"/>
  <c r="BJ10" i="1"/>
  <c r="BL10" i="1" s="1"/>
  <c r="CC10" i="1" s="1"/>
  <c r="CC11" i="1"/>
  <c r="CS8" i="1"/>
  <c r="CH8" i="1"/>
  <c r="CJ8" i="1" s="1"/>
  <c r="CJ30" i="1"/>
  <c r="CK30" i="1" s="1"/>
  <c r="BK11" i="1"/>
  <c r="BM11" i="1" s="1"/>
  <c r="BN11" i="1" s="1"/>
  <c r="CL13" i="1"/>
  <c r="CK13" i="1"/>
  <c r="CM13" i="1" s="1"/>
  <c r="CN13" i="1" s="1"/>
  <c r="CL23" i="1"/>
  <c r="CM23" i="1"/>
  <c r="CN23" i="1" s="1"/>
  <c r="CC9" i="1" l="1"/>
  <c r="BK14" i="1"/>
  <c r="BM14" i="1" s="1"/>
  <c r="BN14" i="1" s="1"/>
  <c r="CC8" i="1"/>
  <c r="CM29" i="1"/>
  <c r="CN29" i="1" s="1"/>
  <c r="CL29" i="1"/>
  <c r="CL31" i="1"/>
  <c r="CM31" i="1"/>
  <c r="CN31" i="1" s="1"/>
  <c r="CM24" i="1"/>
  <c r="CN24" i="1" s="1"/>
  <c r="CL24" i="1"/>
  <c r="CM25" i="1"/>
  <c r="CN25" i="1" s="1"/>
  <c r="CL25" i="1"/>
  <c r="BK8" i="1"/>
  <c r="BM8" i="1" s="1"/>
  <c r="BN8" i="1" s="1"/>
  <c r="CL12" i="1"/>
  <c r="CK12" i="1"/>
  <c r="CM12" i="1" s="1"/>
  <c r="CN12" i="1" s="1"/>
  <c r="DF15" i="1"/>
  <c r="CU15" i="1"/>
  <c r="CW15" i="1" s="1"/>
  <c r="CX15" i="1" s="1"/>
  <c r="CL10" i="1"/>
  <c r="CK10" i="1"/>
  <c r="CM10" i="1" s="1"/>
  <c r="CN10" i="1" s="1"/>
  <c r="DF9" i="1"/>
  <c r="CU9" i="1"/>
  <c r="CW9" i="1" s="1"/>
  <c r="CX9" i="1" s="1"/>
  <c r="CL16" i="1"/>
  <c r="CK16" i="1"/>
  <c r="CM16" i="1" s="1"/>
  <c r="CN16" i="1" s="1"/>
  <c r="DF10" i="1"/>
  <c r="CU10" i="1"/>
  <c r="CW10" i="1" s="1"/>
  <c r="CX10" i="1" s="1"/>
  <c r="CJ14" i="1"/>
  <c r="CL14" i="1" s="1"/>
  <c r="DF12" i="1"/>
  <c r="CU12" i="1"/>
  <c r="CW12" i="1" s="1"/>
  <c r="CX12" i="1" s="1"/>
  <c r="CM30" i="1"/>
  <c r="CN30" i="1" s="1"/>
  <c r="CL30" i="1"/>
  <c r="BK10" i="1"/>
  <c r="BM10" i="1" s="1"/>
  <c r="BN10" i="1" s="1"/>
  <c r="CJ15" i="1"/>
  <c r="CL15" i="1" s="1"/>
  <c r="BK16" i="1"/>
  <c r="BM16" i="1" s="1"/>
  <c r="BN16" i="1" s="1"/>
  <c r="CL9" i="1"/>
  <c r="CK9" i="1"/>
  <c r="CM9" i="1" s="1"/>
  <c r="CN9" i="1" s="1"/>
  <c r="BK9" i="1"/>
  <c r="BM9" i="1" s="1"/>
  <c r="BN9" i="1" s="1"/>
  <c r="CL8" i="1"/>
  <c r="CK8" i="1"/>
  <c r="CM8" i="1" s="1"/>
  <c r="CN8" i="1" s="1"/>
  <c r="DF16" i="1"/>
  <c r="CU16" i="1"/>
  <c r="CW16" i="1" s="1"/>
  <c r="CX16" i="1" s="1"/>
  <c r="DF14" i="1"/>
  <c r="CU14" i="1"/>
  <c r="CW14" i="1" s="1"/>
  <c r="CX14" i="1" s="1"/>
  <c r="DF8" i="1"/>
  <c r="CU8" i="1"/>
  <c r="CW8" i="1" s="1"/>
  <c r="CX8" i="1" s="1"/>
  <c r="CL7" i="1"/>
  <c r="CK7" i="1"/>
  <c r="CM7" i="1" s="1"/>
  <c r="CN7" i="1" s="1"/>
  <c r="CM27" i="1"/>
  <c r="CN27" i="1" s="1"/>
  <c r="CL27" i="1"/>
  <c r="BK7" i="1"/>
  <c r="BM7" i="1" s="1"/>
  <c r="BN7" i="1" s="1"/>
  <c r="CC12" i="1"/>
  <c r="CY11" i="1"/>
  <c r="CZ11" i="1"/>
  <c r="DA11" i="1" s="1"/>
  <c r="CZ13" i="1"/>
  <c r="DA13" i="1" s="1"/>
  <c r="CY13" i="1"/>
  <c r="BK15" i="1"/>
  <c r="BM15" i="1" s="1"/>
  <c r="BN15" i="1" s="1"/>
  <c r="BK12" i="1"/>
  <c r="BM12" i="1" s="1"/>
  <c r="BN12" i="1" s="1"/>
  <c r="DF7" i="1"/>
  <c r="CU7" i="1"/>
  <c r="CW7" i="1" s="1"/>
  <c r="CX7" i="1" s="1"/>
  <c r="DS11" i="1"/>
  <c r="DH11" i="1"/>
  <c r="DJ11" i="1" s="1"/>
  <c r="DK11" i="1" s="1"/>
  <c r="DS13" i="1"/>
  <c r="DH13" i="1"/>
  <c r="DJ13" i="1" s="1"/>
  <c r="DK13" i="1" s="1"/>
  <c r="DS12" i="1" l="1"/>
  <c r="DH12" i="1"/>
  <c r="DJ12" i="1" s="1"/>
  <c r="DK12" i="1" s="1"/>
  <c r="CK15" i="1"/>
  <c r="CM15" i="1" s="1"/>
  <c r="CN15" i="1" s="1"/>
  <c r="CY9" i="1"/>
  <c r="CZ9" i="1"/>
  <c r="DA9" i="1" s="1"/>
  <c r="DS9" i="1"/>
  <c r="DH9" i="1"/>
  <c r="DJ9" i="1" s="1"/>
  <c r="DK9" i="1" s="1"/>
  <c r="CZ14" i="1"/>
  <c r="DA14" i="1" s="1"/>
  <c r="CY14" i="1"/>
  <c r="CZ10" i="1"/>
  <c r="DA10" i="1" s="1"/>
  <c r="CY10" i="1"/>
  <c r="ES13" i="1"/>
  <c r="EU13" i="1" s="1"/>
  <c r="EW13" i="1" s="1"/>
  <c r="EX13" i="1" s="1"/>
  <c r="FF13" i="1"/>
  <c r="EF13" i="1"/>
  <c r="EH13" i="1" s="1"/>
  <c r="EJ13" i="1" s="1"/>
  <c r="EK13" i="1" s="1"/>
  <c r="DU13" i="1"/>
  <c r="DW13" i="1" s="1"/>
  <c r="DX13" i="1" s="1"/>
  <c r="DS14" i="1"/>
  <c r="DH14" i="1"/>
  <c r="DJ14" i="1" s="1"/>
  <c r="DK14" i="1" s="1"/>
  <c r="DS10" i="1"/>
  <c r="DH10" i="1"/>
  <c r="DJ10" i="1" s="1"/>
  <c r="DK10" i="1" s="1"/>
  <c r="CZ7" i="1"/>
  <c r="DA7" i="1" s="1"/>
  <c r="CY7" i="1"/>
  <c r="DS16" i="1"/>
  <c r="DH16" i="1"/>
  <c r="DJ16" i="1" s="1"/>
  <c r="DK16" i="1" s="1"/>
  <c r="DS7" i="1"/>
  <c r="DH7" i="1"/>
  <c r="DJ7" i="1" s="1"/>
  <c r="DK7" i="1" s="1"/>
  <c r="CZ8" i="1"/>
  <c r="DA8" i="1" s="1"/>
  <c r="CY8" i="1"/>
  <c r="DS8" i="1"/>
  <c r="DH8" i="1"/>
  <c r="DJ8" i="1" s="1"/>
  <c r="DK8" i="1" s="1"/>
  <c r="CK14" i="1"/>
  <c r="CM14" i="1" s="1"/>
  <c r="CN14" i="1" s="1"/>
  <c r="DM13" i="1"/>
  <c r="DN13" i="1" s="1"/>
  <c r="DL13" i="1"/>
  <c r="DM11" i="1"/>
  <c r="DN11" i="1" s="1"/>
  <c r="DL11" i="1"/>
  <c r="DP11" i="1" s="1"/>
  <c r="GJ11" i="1" s="1"/>
  <c r="CZ15" i="1"/>
  <c r="DA15" i="1" s="1"/>
  <c r="CY15" i="1"/>
  <c r="FF11" i="1"/>
  <c r="ES11" i="1"/>
  <c r="EU11" i="1" s="1"/>
  <c r="EW11" i="1" s="1"/>
  <c r="EX11" i="1" s="1"/>
  <c r="EF11" i="1"/>
  <c r="EH11" i="1" s="1"/>
  <c r="EJ11" i="1" s="1"/>
  <c r="EK11" i="1" s="1"/>
  <c r="DU11" i="1"/>
  <c r="DW11" i="1" s="1"/>
  <c r="DX11" i="1" s="1"/>
  <c r="CZ16" i="1"/>
  <c r="DA16" i="1" s="1"/>
  <c r="CY16" i="1"/>
  <c r="CZ12" i="1"/>
  <c r="DA12" i="1" s="1"/>
  <c r="CY12" i="1"/>
  <c r="DS15" i="1"/>
  <c r="DH15" i="1"/>
  <c r="DJ15" i="1" s="1"/>
  <c r="DK15" i="1" s="1"/>
  <c r="DP26" i="1" l="1"/>
  <c r="GL11" i="1"/>
  <c r="GM11" i="1" s="1"/>
  <c r="EZ11" i="1"/>
  <c r="FA11" i="1" s="1"/>
  <c r="EY11" i="1"/>
  <c r="FS13" i="1"/>
  <c r="FU13" i="1" s="1"/>
  <c r="FW13" i="1" s="1"/>
  <c r="FX13" i="1" s="1"/>
  <c r="FH13" i="1"/>
  <c r="FJ13" i="1" s="1"/>
  <c r="FK13" i="1" s="1"/>
  <c r="EM11" i="1"/>
  <c r="EN11" i="1" s="1"/>
  <c r="EL11" i="1"/>
  <c r="EM13" i="1"/>
  <c r="EN13" i="1" s="1"/>
  <c r="EL13" i="1"/>
  <c r="EY13" i="1"/>
  <c r="EZ13" i="1"/>
  <c r="FA13" i="1" s="1"/>
  <c r="FF8" i="1"/>
  <c r="ES8" i="1"/>
  <c r="EU8" i="1" s="1"/>
  <c r="EW8" i="1" s="1"/>
  <c r="EX8" i="1" s="1"/>
  <c r="EF8" i="1"/>
  <c r="EH8" i="1" s="1"/>
  <c r="EJ8" i="1" s="1"/>
  <c r="EK8" i="1" s="1"/>
  <c r="DU8" i="1"/>
  <c r="DW8" i="1" s="1"/>
  <c r="DX8" i="1" s="1"/>
  <c r="DM7" i="1"/>
  <c r="DN7" i="1" s="1"/>
  <c r="DL7" i="1"/>
  <c r="ES10" i="1"/>
  <c r="EU10" i="1" s="1"/>
  <c r="EW10" i="1" s="1"/>
  <c r="EX10" i="1" s="1"/>
  <c r="FF10" i="1"/>
  <c r="EF10" i="1"/>
  <c r="EH10" i="1" s="1"/>
  <c r="EJ10" i="1" s="1"/>
  <c r="EK10" i="1" s="1"/>
  <c r="DU10" i="1"/>
  <c r="DW10" i="1" s="1"/>
  <c r="DX10" i="1" s="1"/>
  <c r="FF7" i="1"/>
  <c r="EF7" i="1"/>
  <c r="EH7" i="1" s="1"/>
  <c r="EJ7" i="1" s="1"/>
  <c r="EK7" i="1" s="1"/>
  <c r="ES7" i="1"/>
  <c r="EU7" i="1" s="1"/>
  <c r="EW7" i="1" s="1"/>
  <c r="EX7" i="1" s="1"/>
  <c r="DU7" i="1"/>
  <c r="DW7" i="1" s="1"/>
  <c r="DX7" i="1" s="1"/>
  <c r="DL14" i="1"/>
  <c r="DM14" i="1"/>
  <c r="DN14" i="1" s="1"/>
  <c r="DM9" i="1"/>
  <c r="DN9" i="1" s="1"/>
  <c r="DL9" i="1"/>
  <c r="DP24" i="1" s="1"/>
  <c r="FS11" i="1"/>
  <c r="FU11" i="1" s="1"/>
  <c r="FW11" i="1" s="1"/>
  <c r="FX11" i="1" s="1"/>
  <c r="FH11" i="1"/>
  <c r="FJ11" i="1" s="1"/>
  <c r="FK11" i="1" s="1"/>
  <c r="DM16" i="1"/>
  <c r="DN16" i="1" s="1"/>
  <c r="DL16" i="1"/>
  <c r="FF9" i="1"/>
  <c r="ES9" i="1"/>
  <c r="EU9" i="1" s="1"/>
  <c r="EW9" i="1" s="1"/>
  <c r="EX9" i="1" s="1"/>
  <c r="EF9" i="1"/>
  <c r="EH9" i="1" s="1"/>
  <c r="EJ9" i="1" s="1"/>
  <c r="EK9" i="1" s="1"/>
  <c r="DU9" i="1"/>
  <c r="DW9" i="1" s="1"/>
  <c r="DX9" i="1" s="1"/>
  <c r="DM15" i="1"/>
  <c r="DN15" i="1" s="1"/>
  <c r="DL15" i="1"/>
  <c r="DP15" i="1" s="1"/>
  <c r="GJ15" i="1" s="1"/>
  <c r="FF15" i="1"/>
  <c r="ES15" i="1"/>
  <c r="EU15" i="1" s="1"/>
  <c r="EW15" i="1" s="1"/>
  <c r="EX15" i="1" s="1"/>
  <c r="EF15" i="1"/>
  <c r="EH15" i="1" s="1"/>
  <c r="EJ15" i="1" s="1"/>
  <c r="EK15" i="1" s="1"/>
  <c r="DU15" i="1"/>
  <c r="DW15" i="1" s="1"/>
  <c r="DX15" i="1" s="1"/>
  <c r="DL10" i="1"/>
  <c r="DP10" i="1" s="1"/>
  <c r="GJ10" i="1" s="1"/>
  <c r="DM10" i="1"/>
  <c r="DN10" i="1" s="1"/>
  <c r="FF14" i="1"/>
  <c r="EF14" i="1"/>
  <c r="EH14" i="1" s="1"/>
  <c r="EJ14" i="1" s="1"/>
  <c r="EK14" i="1" s="1"/>
  <c r="ES14" i="1"/>
  <c r="EU14" i="1" s="1"/>
  <c r="EW14" i="1" s="1"/>
  <c r="EX14" i="1" s="1"/>
  <c r="DU14" i="1"/>
  <c r="DW14" i="1" s="1"/>
  <c r="DX14" i="1" s="1"/>
  <c r="FF16" i="1"/>
  <c r="ES16" i="1"/>
  <c r="EU16" i="1" s="1"/>
  <c r="EW16" i="1" s="1"/>
  <c r="EX16" i="1" s="1"/>
  <c r="EF16" i="1"/>
  <c r="EH16" i="1" s="1"/>
  <c r="EJ16" i="1" s="1"/>
  <c r="EK16" i="1" s="1"/>
  <c r="DU16" i="1"/>
  <c r="DW16" i="1" s="1"/>
  <c r="DX16" i="1" s="1"/>
  <c r="DM12" i="1"/>
  <c r="DN12" i="1" s="1"/>
  <c r="DL12" i="1"/>
  <c r="DL8" i="1"/>
  <c r="DP23" i="1" s="1"/>
  <c r="DM8" i="1"/>
  <c r="DN8" i="1" s="1"/>
  <c r="DY11" i="1"/>
  <c r="DZ11" i="1"/>
  <c r="EA11" i="1" s="1"/>
  <c r="DP28" i="1"/>
  <c r="DP13" i="1"/>
  <c r="GJ13" i="1" s="1"/>
  <c r="DP22" i="1"/>
  <c r="DY13" i="1"/>
  <c r="DZ13" i="1"/>
  <c r="EA13" i="1" s="1"/>
  <c r="FF12" i="1"/>
  <c r="ES12" i="1"/>
  <c r="EU12" i="1" s="1"/>
  <c r="EW12" i="1" s="1"/>
  <c r="EX12" i="1" s="1"/>
  <c r="EF12" i="1"/>
  <c r="EH12" i="1" s="1"/>
  <c r="EJ12" i="1" s="1"/>
  <c r="EK12" i="1" s="1"/>
  <c r="DU12" i="1"/>
  <c r="DW12" i="1" s="1"/>
  <c r="DX12" i="1" s="1"/>
  <c r="DP9" i="1" l="1"/>
  <c r="GJ9" i="1" s="1"/>
  <c r="DP25" i="1"/>
  <c r="GL15" i="1"/>
  <c r="GM15" i="1" s="1"/>
  <c r="DZ8" i="1"/>
  <c r="EA8" i="1" s="1"/>
  <c r="DY8" i="1"/>
  <c r="DP8" i="1"/>
  <c r="GJ8" i="1" s="1"/>
  <c r="GL8" i="1" s="1"/>
  <c r="GM8" i="1" s="1"/>
  <c r="FS16" i="1"/>
  <c r="FU16" i="1" s="1"/>
  <c r="FW16" i="1" s="1"/>
  <c r="FX16" i="1" s="1"/>
  <c r="FH16" i="1"/>
  <c r="FJ16" i="1" s="1"/>
  <c r="FK16" i="1" s="1"/>
  <c r="DP14" i="1"/>
  <c r="GJ14" i="1" s="1"/>
  <c r="DP29" i="1"/>
  <c r="DZ10" i="1"/>
  <c r="EA10" i="1" s="1"/>
  <c r="DY10" i="1"/>
  <c r="EZ8" i="1"/>
  <c r="FA8" i="1" s="1"/>
  <c r="EY8" i="1"/>
  <c r="GL9" i="1"/>
  <c r="GM9" i="1" s="1"/>
  <c r="DP12" i="1"/>
  <c r="GJ12" i="1" s="1"/>
  <c r="FM11" i="1"/>
  <c r="FN11" i="1" s="1"/>
  <c r="FL11" i="1"/>
  <c r="GE26" i="1" s="1"/>
  <c r="DZ7" i="1"/>
  <c r="EA7" i="1" s="1"/>
  <c r="DY7" i="1"/>
  <c r="EM10" i="1"/>
  <c r="EN10" i="1" s="1"/>
  <c r="EL10" i="1"/>
  <c r="FS8" i="1"/>
  <c r="FU8" i="1" s="1"/>
  <c r="FW8" i="1" s="1"/>
  <c r="FX8" i="1" s="1"/>
  <c r="FH8" i="1"/>
  <c r="FJ8" i="1" s="1"/>
  <c r="FK8" i="1" s="1"/>
  <c r="EL12" i="1"/>
  <c r="EM12" i="1"/>
  <c r="EN12" i="1" s="1"/>
  <c r="GL13" i="1"/>
  <c r="GM13" i="1" s="1"/>
  <c r="DY14" i="1"/>
  <c r="DZ14" i="1"/>
  <c r="EA14" i="1" s="1"/>
  <c r="DY9" i="1"/>
  <c r="DZ9" i="1"/>
  <c r="EA9" i="1" s="1"/>
  <c r="FZ11" i="1"/>
  <c r="GA11" i="1" s="1"/>
  <c r="FY11" i="1"/>
  <c r="EZ7" i="1"/>
  <c r="FA7" i="1" s="1"/>
  <c r="EY7" i="1"/>
  <c r="FS10" i="1"/>
  <c r="FU10" i="1" s="1"/>
  <c r="FW10" i="1" s="1"/>
  <c r="FX10" i="1" s="1"/>
  <c r="FH10" i="1"/>
  <c r="FJ10" i="1" s="1"/>
  <c r="FK10" i="1" s="1"/>
  <c r="DP27" i="1"/>
  <c r="EM16" i="1"/>
  <c r="EN16" i="1" s="1"/>
  <c r="EL16" i="1"/>
  <c r="FS15" i="1"/>
  <c r="FU15" i="1" s="1"/>
  <c r="FW15" i="1" s="1"/>
  <c r="FX15" i="1" s="1"/>
  <c r="FH15" i="1"/>
  <c r="FJ15" i="1" s="1"/>
  <c r="FK15" i="1" s="1"/>
  <c r="EM8" i="1"/>
  <c r="EN8" i="1" s="1"/>
  <c r="EL8" i="1"/>
  <c r="DZ15" i="1"/>
  <c r="EA15" i="1" s="1"/>
  <c r="DY15" i="1"/>
  <c r="DP31" i="1"/>
  <c r="EL7" i="1"/>
  <c r="EM7" i="1"/>
  <c r="EN7" i="1" s="1"/>
  <c r="EY10" i="1"/>
  <c r="EZ10" i="1"/>
  <c r="FA10" i="1" s="1"/>
  <c r="GL10" i="1"/>
  <c r="GM10" i="1" s="1"/>
  <c r="EM9" i="1"/>
  <c r="EN9" i="1" s="1"/>
  <c r="EL9" i="1"/>
  <c r="FS12" i="1"/>
  <c r="FU12" i="1" s="1"/>
  <c r="FW12" i="1" s="1"/>
  <c r="FX12" i="1" s="1"/>
  <c r="FH12" i="1"/>
  <c r="FJ12" i="1" s="1"/>
  <c r="FK12" i="1" s="1"/>
  <c r="DP30" i="1"/>
  <c r="EM14" i="1"/>
  <c r="EN14" i="1" s="1"/>
  <c r="EL14" i="1"/>
  <c r="EM15" i="1"/>
  <c r="EN15" i="1" s="1"/>
  <c r="EL15" i="1"/>
  <c r="EZ9" i="1"/>
  <c r="FA9" i="1" s="1"/>
  <c r="EY9" i="1"/>
  <c r="FS7" i="1"/>
  <c r="FU7" i="1" s="1"/>
  <c r="FW7" i="1" s="1"/>
  <c r="FX7" i="1" s="1"/>
  <c r="FH7" i="1"/>
  <c r="FJ7" i="1" s="1"/>
  <c r="FK7" i="1" s="1"/>
  <c r="DP7" i="1"/>
  <c r="GJ7" i="1" s="1"/>
  <c r="FM13" i="1"/>
  <c r="FN13" i="1" s="1"/>
  <c r="FL13" i="1"/>
  <c r="EY16" i="1"/>
  <c r="EZ16" i="1"/>
  <c r="FA16" i="1" s="1"/>
  <c r="DY12" i="1"/>
  <c r="DZ12" i="1"/>
  <c r="EA12" i="1" s="1"/>
  <c r="EZ12" i="1"/>
  <c r="FA12" i="1" s="1"/>
  <c r="EY12" i="1"/>
  <c r="EY14" i="1"/>
  <c r="EZ14" i="1"/>
  <c r="FA14" i="1" s="1"/>
  <c r="GE11" i="1"/>
  <c r="DZ16" i="1"/>
  <c r="EA16" i="1" s="1"/>
  <c r="DY16" i="1"/>
  <c r="FS14" i="1"/>
  <c r="FU14" i="1" s="1"/>
  <c r="FW14" i="1" s="1"/>
  <c r="FX14" i="1" s="1"/>
  <c r="FH14" i="1"/>
  <c r="FJ14" i="1" s="1"/>
  <c r="FK14" i="1" s="1"/>
  <c r="EY15" i="1"/>
  <c r="EZ15" i="1"/>
  <c r="FA15" i="1" s="1"/>
  <c r="FS9" i="1"/>
  <c r="FU9" i="1" s="1"/>
  <c r="FW9" i="1" s="1"/>
  <c r="FX9" i="1" s="1"/>
  <c r="FH9" i="1"/>
  <c r="FJ9" i="1" s="1"/>
  <c r="FK9" i="1" s="1"/>
  <c r="DP16" i="1"/>
  <c r="GJ16" i="1" s="1"/>
  <c r="FZ13" i="1"/>
  <c r="GA13" i="1" s="1"/>
  <c r="FY13" i="1"/>
  <c r="GE13" i="1" l="1"/>
  <c r="FY9" i="1"/>
  <c r="FZ9" i="1"/>
  <c r="GA9" i="1" s="1"/>
  <c r="FZ16" i="1"/>
  <c r="GA16" i="1" s="1"/>
  <c r="FY16" i="1"/>
  <c r="GE28" i="1"/>
  <c r="FM8" i="1"/>
  <c r="FN8" i="1" s="1"/>
  <c r="FL8" i="1"/>
  <c r="GE8" i="1" s="1"/>
  <c r="GL12" i="1"/>
  <c r="GM12" i="1" s="1"/>
  <c r="FZ8" i="1"/>
  <c r="GA8" i="1" s="1"/>
  <c r="FY8" i="1"/>
  <c r="FL14" i="1"/>
  <c r="FM14" i="1"/>
  <c r="FN14" i="1" s="1"/>
  <c r="FY14" i="1"/>
  <c r="GE29" i="1" s="1"/>
  <c r="FZ14" i="1"/>
  <c r="GA14" i="1" s="1"/>
  <c r="GL16" i="1"/>
  <c r="GM16" i="1" s="1"/>
  <c r="FM15" i="1"/>
  <c r="FN15" i="1" s="1"/>
  <c r="FL15" i="1"/>
  <c r="GE15" i="1" s="1"/>
  <c r="GL7" i="1"/>
  <c r="GM7" i="1" s="1"/>
  <c r="FL10" i="1"/>
  <c r="FM10" i="1"/>
  <c r="FN10" i="1" s="1"/>
  <c r="FZ7" i="1"/>
  <c r="GA7" i="1" s="1"/>
  <c r="FY7" i="1"/>
  <c r="FL12" i="1"/>
  <c r="FM12" i="1"/>
  <c r="FN12" i="1" s="1"/>
  <c r="FY15" i="1"/>
  <c r="FZ15" i="1"/>
  <c r="GA15" i="1" s="1"/>
  <c r="GL14" i="1"/>
  <c r="GM14" i="1" s="1"/>
  <c r="FY10" i="1"/>
  <c r="FZ10" i="1"/>
  <c r="GA10" i="1" s="1"/>
  <c r="FM7" i="1"/>
  <c r="FN7" i="1" s="1"/>
  <c r="FL7" i="1"/>
  <c r="GE7" i="1" s="1"/>
  <c r="FL9" i="1"/>
  <c r="GE9" i="1" s="1"/>
  <c r="FM9" i="1"/>
  <c r="FN9" i="1" s="1"/>
  <c r="FZ12" i="1"/>
  <c r="GA12" i="1" s="1"/>
  <c r="FY12" i="1"/>
  <c r="FM16" i="1"/>
  <c r="FN16" i="1" s="1"/>
  <c r="FL16" i="1"/>
  <c r="GE14" i="1" l="1"/>
  <c r="GE27" i="1"/>
  <c r="GE10" i="1"/>
  <c r="GE23" i="1"/>
  <c r="GE12" i="1"/>
  <c r="GE25" i="1"/>
  <c r="GE30" i="1"/>
  <c r="GE24" i="1"/>
  <c r="GE16" i="1"/>
  <c r="GE31" i="1"/>
  <c r="GE22" i="1"/>
</calcChain>
</file>

<file path=xl/sharedStrings.xml><?xml version="1.0" encoding="utf-8"?>
<sst xmlns="http://schemas.openxmlformats.org/spreadsheetml/2006/main" count="194" uniqueCount="45">
  <si>
    <t>1/LAMBDA</t>
  </si>
  <si>
    <t>LAMBDA</t>
  </si>
  <si>
    <t>EMITTOR</t>
  </si>
  <si>
    <t>TASK RICEZIONE ORDINE</t>
  </si>
  <si>
    <t>1/lambda</t>
  </si>
  <si>
    <t>1/mu</t>
  </si>
  <si>
    <t>lambda</t>
  </si>
  <si>
    <t>mu</t>
  </si>
  <si>
    <t>rho</t>
  </si>
  <si>
    <t>L</t>
  </si>
  <si>
    <t>W</t>
  </si>
  <si>
    <t>Lq</t>
  </si>
  <si>
    <t>Wq</t>
  </si>
  <si>
    <t xml:space="preserve"> TASK CONTROLLO SCORTE</t>
  </si>
  <si>
    <t>P. back</t>
  </si>
  <si>
    <t>TASK APPROVVIGIONAMENTO</t>
  </si>
  <si>
    <t>TASK MESSA IN PRODUZIONE</t>
  </si>
  <si>
    <t>P. xor</t>
  </si>
  <si>
    <t>TASK REALIZZAZIONE CORDE</t>
  </si>
  <si>
    <t>TASK MESSA IN TENSIONE CORDE</t>
  </si>
  <si>
    <t>TASK CHECK INTEGRITA' PRODOTTO</t>
  </si>
  <si>
    <t>TASK IMBALLAGGIO PRODOTTO</t>
  </si>
  <si>
    <t>TASK ASSEGNO</t>
  </si>
  <si>
    <t>TASK CONTANTI</t>
  </si>
  <si>
    <t>TASK SPEDIZIONE</t>
  </si>
  <si>
    <t>TASK EMISSIONE FATTURA</t>
  </si>
  <si>
    <t>W Totale</t>
  </si>
  <si>
    <t>W And</t>
  </si>
  <si>
    <t>TASK ASSEMBLAGGIO RACCHETTA MM1</t>
  </si>
  <si>
    <t>TASK REALIZZAZIONE TELAIO MM1</t>
  </si>
  <si>
    <t>TASK REALIZZAZIONE TELAIO MM2</t>
  </si>
  <si>
    <t>TASK ASSEMBLAGGIO RACCHETTA MM2</t>
  </si>
  <si>
    <t xml:space="preserve">W Totale </t>
  </si>
  <si>
    <t>MM1</t>
  </si>
  <si>
    <t>W ciclo</t>
  </si>
  <si>
    <t>W Totale Simulato</t>
  </si>
  <si>
    <t>W Forward</t>
  </si>
  <si>
    <t>W Backward</t>
  </si>
  <si>
    <t>W totale ciclo</t>
  </si>
  <si>
    <t>P.ciclo</t>
  </si>
  <si>
    <t>4.2 e 4.4 MM2</t>
  </si>
  <si>
    <t>4.2 e 4.4 MM1</t>
  </si>
  <si>
    <t>N° volte ciclo</t>
  </si>
  <si>
    <t>ANALISI CICLO MM1</t>
  </si>
  <si>
    <t>ANALISI CICLO 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</si>
</sst>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Foglio1!$GE$5</c:f>
              <c:strCache>
                <c:ptCount val="1"/>
                <c:pt idx="0">
                  <c:v>4.2 e 4.4 MM2</c:v>
                </c:pt>
              </c:strCache>
            </c:strRef>
          </c:tx>
          <c:spPr>
            <a:ln w="22225" cap="rnd">
              <a:solidFill>
                <a:srgbClr val="00B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00B050"/>
              </a:solidFill>
              <a:ln w="9525">
                <a:solidFill>
                  <a:srgbClr val="00B050"/>
                </a:solidFill>
                <a:round/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Foglio1!$GD$22:$GD$31</c15:sqref>
                  </c15:fullRef>
                </c:ext>
              </c:extLst>
              <c:f>Foglio1!$GD$24:$GD$31</c:f>
              <c:numCache>
                <c:formatCode>General</c:formatCode>
                <c:ptCount val="8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Foglio1!$GE$7:$GE$16</c15:sqref>
                  </c15:fullRef>
                </c:ext>
              </c:extLst>
              <c:f>Foglio1!$GE$9:$GE$16</c:f>
              <c:numCache>
                <c:formatCode>General</c:formatCode>
                <c:ptCount val="8"/>
                <c:pt idx="0">
                  <c:v>164.57077695164168</c:v>
                </c:pt>
                <c:pt idx="1">
                  <c:v>138.97157530631577</c:v>
                </c:pt>
                <c:pt idx="2">
                  <c:v>127.48584504273023</c:v>
                </c:pt>
                <c:pt idx="3">
                  <c:v>113.63868377284912</c:v>
                </c:pt>
                <c:pt idx="4">
                  <c:v>108.36909875027744</c:v>
                </c:pt>
                <c:pt idx="5">
                  <c:v>105.60113643336294</c:v>
                </c:pt>
                <c:pt idx="6">
                  <c:v>103.89867510246958</c:v>
                </c:pt>
                <c:pt idx="7">
                  <c:v>103.08714887535189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D-4F3F-876B-609DEA533507}"/>
            </c:ext>
          </c:extLst>
        </c:ser>
        <c:ser>
          <c:idx val="1"/>
          <c:order val="1"/>
          <c:tx>
            <c:strRef>
              <c:f>Foglio1!$GE$20</c:f>
              <c:strCache>
                <c:ptCount val="1"/>
                <c:pt idx="0">
                  <c:v>4.2 e 4.4 MM1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Foglio1!$GD$22:$GD$31</c15:sqref>
                  </c15:fullRef>
                </c:ext>
              </c:extLst>
              <c:f>Foglio1!$GD$24:$GD$31</c:f>
              <c:numCache>
                <c:formatCode>General</c:formatCode>
                <c:ptCount val="8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Foglio1!$GE$22:$GE$31</c15:sqref>
                  </c15:fullRef>
                </c:ext>
              </c:extLst>
              <c:f>Foglio1!$GE$24:$GE$31</c:f>
              <c:numCache>
                <c:formatCode>General</c:formatCode>
                <c:ptCount val="8"/>
                <c:pt idx="0">
                  <c:v>328.81435710210735</c:v>
                </c:pt>
                <c:pt idx="1">
                  <c:v>199.8944497777899</c:v>
                </c:pt>
                <c:pt idx="2">
                  <c:v>164.8193077500853</c:v>
                </c:pt>
                <c:pt idx="3">
                  <c:v>131.1113605096117</c:v>
                </c:pt>
                <c:pt idx="4">
                  <c:v>119.87078394117849</c:v>
                </c:pt>
                <c:pt idx="5">
                  <c:v>114.20179733750841</c:v>
                </c:pt>
                <c:pt idx="6">
                  <c:v>110.7771155879912</c:v>
                </c:pt>
                <c:pt idx="7">
                  <c:v>109.15828252742949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0D-4F3F-876B-609DEA533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261872"/>
        <c:axId val="643260432"/>
      </c:lineChart>
      <c:catAx>
        <c:axId val="64326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>
                    <a:solidFill>
                      <a:schemeClr val="tx1"/>
                    </a:solidFill>
                  </a:rPr>
                  <a:t>1/lambda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3260432"/>
        <c:crosses val="autoZero"/>
        <c:auto val="1"/>
        <c:lblAlgn val="ctr"/>
        <c:lblOffset val="100"/>
        <c:noMultiLvlLbl val="0"/>
      </c:catAx>
      <c:valAx>
        <c:axId val="643260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>
                    <a:solidFill>
                      <a:schemeClr val="tx1"/>
                    </a:solidFill>
                  </a:rPr>
                  <a:t>Cycle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326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Foglio1!$GE$6</c:f>
              <c:strCache>
                <c:ptCount val="1"/>
                <c:pt idx="0">
                  <c:v>W Totale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Foglio1!$GD$23:$GD$31</c:f>
              <c:numCache>
                <c:formatCode>General</c:formatCode>
                <c:ptCount val="9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  <c:pt idx="8">
                  <c:v>100</c:v>
                </c:pt>
              </c:numCache>
            </c:numRef>
          </c:cat>
          <c:val>
            <c:numRef>
              <c:f>Foglio1!$GE$8:$GE$16</c:f>
              <c:numCache>
                <c:formatCode>General</c:formatCode>
                <c:ptCount val="9"/>
                <c:pt idx="0">
                  <c:v>312.24279300710748</c:v>
                </c:pt>
                <c:pt idx="1">
                  <c:v>164.57077695164168</c:v>
                </c:pt>
                <c:pt idx="2">
                  <c:v>138.97157530631577</c:v>
                </c:pt>
                <c:pt idx="3">
                  <c:v>127.48584504273023</c:v>
                </c:pt>
                <c:pt idx="4">
                  <c:v>113.63868377284912</c:v>
                </c:pt>
                <c:pt idx="5">
                  <c:v>108.36909875027744</c:v>
                </c:pt>
                <c:pt idx="6">
                  <c:v>105.60113643336294</c:v>
                </c:pt>
                <c:pt idx="7">
                  <c:v>103.89867510246958</c:v>
                </c:pt>
                <c:pt idx="8">
                  <c:v>103.08714887535189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4-4154-A1E6-D213B1A5B419}"/>
            </c:ext>
          </c:extLst>
        </c:ser>
        <c:ser>
          <c:idx val="1"/>
          <c:order val="1"/>
          <c:tx>
            <c:strRef>
              <c:f>Foglio1!$GF$6</c:f>
              <c:strCache>
                <c:ptCount val="1"/>
                <c:pt idx="0">
                  <c:v>W Totale Simulato</c:v>
                </c:pt>
              </c:strCache>
            </c:strRef>
          </c:tx>
          <c:spPr>
            <a:ln w="34925" cap="rnd">
              <a:solidFill>
                <a:srgbClr val="FFFF00">
                  <a:alpha val="50000"/>
                </a:srgb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Foglio1!$GD$23:$GD$31</c:f>
              <c:numCache>
                <c:formatCode>General</c:formatCode>
                <c:ptCount val="9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  <c:pt idx="8">
                  <c:v>100</c:v>
                </c:pt>
              </c:numCache>
            </c:numRef>
          </c:cat>
          <c:val>
            <c:numRef>
              <c:f>Foglio1!$GF$8:$GF$16</c:f>
              <c:numCache>
                <c:formatCode>General</c:formatCode>
                <c:ptCount val="9"/>
                <c:pt idx="0">
                  <c:v>315.91000000000003</c:v>
                </c:pt>
                <c:pt idx="1">
                  <c:v>164.99</c:v>
                </c:pt>
                <c:pt idx="2">
                  <c:v>137.22999999999999</c:v>
                </c:pt>
                <c:pt idx="3">
                  <c:v>126.46</c:v>
                </c:pt>
                <c:pt idx="4">
                  <c:v>114.57</c:v>
                </c:pt>
                <c:pt idx="5">
                  <c:v>108.98</c:v>
                </c:pt>
                <c:pt idx="6">
                  <c:v>105.38</c:v>
                </c:pt>
                <c:pt idx="7">
                  <c:v>102.94</c:v>
                </c:pt>
                <c:pt idx="8">
                  <c:v>101.83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54-4154-A1E6-D213B1A5B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802864"/>
        <c:axId val="455803944"/>
      </c:lineChart>
      <c:catAx>
        <c:axId val="455802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100">
                    <a:solidFill>
                      <a:schemeClr val="bg1"/>
                    </a:solidFill>
                  </a:rPr>
                  <a:t>1/LAMBDA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5803944"/>
        <c:crosses val="autoZero"/>
        <c:auto val="1"/>
        <c:lblAlgn val="ctr"/>
        <c:lblOffset val="100"/>
        <c:noMultiLvlLbl val="0"/>
      </c:catAx>
      <c:valAx>
        <c:axId val="45580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50">
                    <a:solidFill>
                      <a:schemeClr val="bg1"/>
                    </a:solidFill>
                  </a:rPr>
                  <a:t>CYCLE</a:t>
                </a:r>
                <a:r>
                  <a:rPr lang="it-IT" sz="1050" baseline="0">
                    <a:solidFill>
                      <a:schemeClr val="bg1"/>
                    </a:solidFill>
                  </a:rPr>
                  <a:t> TIME</a:t>
                </a:r>
                <a:endParaRPr lang="it-IT" sz="1050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580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160</xdr:col>
      <xdr:colOff>121104</xdr:colOff>
      <xdr:row>18</xdr:row>
      <xdr:rowOff>133349</xdr:rowOff>
    </xdr:from>
    <xdr:to>
      <xdr:col>170</xdr:col>
      <xdr:colOff>99332</xdr:colOff>
      <xdr:row>36</xdr:row>
      <xdr:rowOff>138792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BAE0361-B3E3-785D-CD12-6476A7423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173</xdr:col>
      <xdr:colOff>104775</xdr:colOff>
      <xdr:row>18</xdr:row>
      <xdr:rowOff>128588</xdr:rowOff>
    </xdr:from>
    <xdr:to>
      <xdr:col>183</xdr:col>
      <xdr:colOff>123825</xdr:colOff>
      <xdr:row>35</xdr:row>
      <xdr:rowOff>142875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BCF1C9F-0B96-6219-2F58-FEA940AD0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93C5-6798-443A-A3A9-8DBD0DBE784D}">
  <dimension ref="B5:GM31"/>
  <sheetViews>
    <sheetView tabSelected="1" topLeftCell="ES2" zoomScale="80" zoomScaleNormal="80" workbookViewId="0">
      <selection activeCell="GG23" sqref="GG23"/>
    </sheetView>
  </sheetViews>
  <sheetFormatPr defaultRowHeight="14.4" x14ac:dyDescent="0.3"/>
  <cols>
    <col min="17" max="17" width="12.109375" bestFit="1" customWidth="1"/>
    <col min="187" max="187" width="13.33203125" bestFit="1" customWidth="1"/>
    <col min="188" max="188" width="16.5546875" bestFit="1" customWidth="1"/>
    <col min="190" max="190" width="9.5546875" customWidth="1"/>
    <col min="192" max="192" width="10.109375" bestFit="1" customWidth="1"/>
    <col min="193" max="193" width="6.77734375" bestFit="1" customWidth="1"/>
    <col min="194" max="194" width="11.5546875" bestFit="1" customWidth="1"/>
    <col min="195" max="195" width="12.44140625" bestFit="1" customWidth="1"/>
  </cols>
  <sheetData>
    <row r="5" spans="2:195" x14ac:dyDescent="0.3">
      <c r="B5" s="5" t="s">
        <v>2</v>
      </c>
      <c r="C5" s="5"/>
      <c r="F5" s="5" t="s">
        <v>3</v>
      </c>
      <c r="G5" s="5"/>
      <c r="H5" s="5"/>
      <c r="I5" s="5"/>
      <c r="J5" s="5"/>
      <c r="K5" s="5"/>
      <c r="L5" s="5"/>
      <c r="M5" s="5"/>
      <c r="N5" s="5"/>
      <c r="S5" s="5" t="s">
        <v>13</v>
      </c>
      <c r="T5" s="5"/>
      <c r="U5" s="5"/>
      <c r="V5" s="5"/>
      <c r="W5" s="5"/>
      <c r="X5" s="5"/>
      <c r="Y5" s="5"/>
      <c r="Z5" s="5"/>
      <c r="AA5" s="5"/>
      <c r="AF5" s="5" t="s">
        <v>15</v>
      </c>
      <c r="AG5" s="5"/>
      <c r="AH5" s="5"/>
      <c r="AI5" s="5"/>
      <c r="AJ5" s="5"/>
      <c r="AK5" s="5"/>
      <c r="AL5" s="5"/>
      <c r="AM5" s="5"/>
      <c r="AN5" s="5"/>
      <c r="AS5" s="5" t="s">
        <v>16</v>
      </c>
      <c r="AT5" s="5"/>
      <c r="AU5" s="5"/>
      <c r="AV5" s="5"/>
      <c r="AW5" s="5"/>
      <c r="AX5" s="5"/>
      <c r="AY5" s="5"/>
      <c r="AZ5" s="5"/>
      <c r="BA5" s="5"/>
      <c r="BF5" s="5" t="s">
        <v>30</v>
      </c>
      <c r="BG5" s="5"/>
      <c r="BH5" s="5"/>
      <c r="BI5" s="5"/>
      <c r="BJ5" s="5"/>
      <c r="BK5" s="5"/>
      <c r="BL5" s="5"/>
      <c r="BM5" s="5"/>
      <c r="BN5" s="5"/>
      <c r="BS5" s="5" t="s">
        <v>18</v>
      </c>
      <c r="BT5" s="5"/>
      <c r="BU5" s="5"/>
      <c r="BV5" s="5"/>
      <c r="BW5" s="5"/>
      <c r="BX5" s="5"/>
      <c r="BY5" s="5"/>
      <c r="BZ5" s="5"/>
      <c r="CA5" s="5"/>
      <c r="CF5" s="5" t="s">
        <v>31</v>
      </c>
      <c r="CG5" s="5"/>
      <c r="CH5" s="5"/>
      <c r="CI5" s="5"/>
      <c r="CJ5" s="5"/>
      <c r="CK5" s="5"/>
      <c r="CL5" s="5"/>
      <c r="CM5" s="5"/>
      <c r="CN5" s="5"/>
      <c r="CS5" s="5" t="s">
        <v>19</v>
      </c>
      <c r="CT5" s="5"/>
      <c r="CU5" s="5"/>
      <c r="CV5" s="5"/>
      <c r="CW5" s="5"/>
      <c r="CX5" s="5"/>
      <c r="CY5" s="5"/>
      <c r="CZ5" s="5"/>
      <c r="DA5" s="5"/>
      <c r="DF5" s="5" t="s">
        <v>20</v>
      </c>
      <c r="DG5" s="5"/>
      <c r="DH5" s="5"/>
      <c r="DI5" s="5"/>
      <c r="DJ5" s="5"/>
      <c r="DK5" s="5"/>
      <c r="DL5" s="5"/>
      <c r="DM5" s="5"/>
      <c r="DN5" s="5"/>
      <c r="DS5" s="5" t="s">
        <v>21</v>
      </c>
      <c r="DT5" s="5"/>
      <c r="DU5" s="5"/>
      <c r="DV5" s="5"/>
      <c r="DW5" s="5"/>
      <c r="DX5" s="5"/>
      <c r="DY5" s="5"/>
      <c r="DZ5" s="5"/>
      <c r="EA5" s="5"/>
      <c r="EF5" s="5" t="s">
        <v>22</v>
      </c>
      <c r="EG5" s="5"/>
      <c r="EH5" s="5"/>
      <c r="EI5" s="5"/>
      <c r="EJ5" s="5"/>
      <c r="EK5" s="5"/>
      <c r="EL5" s="5"/>
      <c r="EM5" s="5"/>
      <c r="EN5" s="5"/>
      <c r="ES5" s="5" t="s">
        <v>23</v>
      </c>
      <c r="ET5" s="5"/>
      <c r="EU5" s="5"/>
      <c r="EV5" s="5"/>
      <c r="EW5" s="5"/>
      <c r="EX5" s="5"/>
      <c r="EY5" s="5"/>
      <c r="EZ5" s="5"/>
      <c r="FA5" s="5"/>
      <c r="FF5" s="5" t="s">
        <v>24</v>
      </c>
      <c r="FG5" s="5"/>
      <c r="FH5" s="5"/>
      <c r="FI5" s="5"/>
      <c r="FJ5" s="5"/>
      <c r="FK5" s="5"/>
      <c r="FL5" s="5"/>
      <c r="FM5" s="5"/>
      <c r="FN5" s="5"/>
      <c r="FS5" s="5" t="s">
        <v>25</v>
      </c>
      <c r="FT5" s="5"/>
      <c r="FU5" s="5"/>
      <c r="FV5" s="5"/>
      <c r="FW5" s="5"/>
      <c r="FX5" s="5"/>
      <c r="FY5" s="5"/>
      <c r="FZ5" s="5"/>
      <c r="GA5" s="5"/>
      <c r="GE5" t="s">
        <v>40</v>
      </c>
      <c r="GI5" s="5" t="s">
        <v>44</v>
      </c>
      <c r="GJ5" s="5"/>
      <c r="GK5" s="5"/>
      <c r="GL5" s="5"/>
      <c r="GM5" s="5"/>
    </row>
    <row r="6" spans="2:195" x14ac:dyDescent="0.3">
      <c r="B6" s="1" t="s">
        <v>0</v>
      </c>
      <c r="C6" s="1" t="s">
        <v>1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S6" s="1" t="s">
        <v>4</v>
      </c>
      <c r="T6" s="1" t="s">
        <v>5</v>
      </c>
      <c r="U6" s="1" t="s">
        <v>6</v>
      </c>
      <c r="V6" s="1" t="s">
        <v>7</v>
      </c>
      <c r="W6" s="1" t="s">
        <v>8</v>
      </c>
      <c r="X6" s="1" t="s">
        <v>9</v>
      </c>
      <c r="Y6" s="1" t="s">
        <v>10</v>
      </c>
      <c r="Z6" s="1" t="s">
        <v>11</v>
      </c>
      <c r="AA6" s="1" t="s">
        <v>12</v>
      </c>
      <c r="AF6" s="1" t="s">
        <v>4</v>
      </c>
      <c r="AG6" s="1" t="s">
        <v>5</v>
      </c>
      <c r="AH6" s="1" t="s">
        <v>6</v>
      </c>
      <c r="AI6" s="1" t="s">
        <v>7</v>
      </c>
      <c r="AJ6" s="1" t="s">
        <v>8</v>
      </c>
      <c r="AK6" s="1" t="s">
        <v>9</v>
      </c>
      <c r="AL6" s="1" t="s">
        <v>10</v>
      </c>
      <c r="AM6" s="1" t="s">
        <v>11</v>
      </c>
      <c r="AN6" s="1" t="s">
        <v>12</v>
      </c>
      <c r="AS6" s="1" t="s">
        <v>4</v>
      </c>
      <c r="AT6" s="1" t="s">
        <v>5</v>
      </c>
      <c r="AU6" s="1" t="s">
        <v>6</v>
      </c>
      <c r="AV6" s="1" t="s">
        <v>7</v>
      </c>
      <c r="AW6" s="1" t="s">
        <v>8</v>
      </c>
      <c r="AX6" s="1" t="s">
        <v>9</v>
      </c>
      <c r="AY6" s="1" t="s">
        <v>10</v>
      </c>
      <c r="AZ6" s="1" t="s">
        <v>11</v>
      </c>
      <c r="BA6" s="1" t="s">
        <v>12</v>
      </c>
      <c r="BF6" s="1" t="s">
        <v>4</v>
      </c>
      <c r="BG6" s="1" t="s">
        <v>5</v>
      </c>
      <c r="BH6" s="1" t="s">
        <v>6</v>
      </c>
      <c r="BI6" s="1" t="s">
        <v>7</v>
      </c>
      <c r="BJ6" s="1" t="s">
        <v>8</v>
      </c>
      <c r="BK6" s="1" t="s">
        <v>9</v>
      </c>
      <c r="BL6" s="1" t="s">
        <v>10</v>
      </c>
      <c r="BM6" s="1" t="s">
        <v>11</v>
      </c>
      <c r="BN6" s="1" t="s">
        <v>12</v>
      </c>
      <c r="BS6" s="1" t="s">
        <v>4</v>
      </c>
      <c r="BT6" s="1" t="s">
        <v>5</v>
      </c>
      <c r="BU6" s="1" t="s">
        <v>6</v>
      </c>
      <c r="BV6" s="1" t="s">
        <v>7</v>
      </c>
      <c r="BW6" s="1" t="s">
        <v>8</v>
      </c>
      <c r="BX6" s="1" t="s">
        <v>9</v>
      </c>
      <c r="BY6" s="1" t="s">
        <v>10</v>
      </c>
      <c r="BZ6" s="1" t="s">
        <v>11</v>
      </c>
      <c r="CA6" s="1" t="s">
        <v>12</v>
      </c>
      <c r="CC6" s="1" t="s">
        <v>27</v>
      </c>
      <c r="CF6" s="1" t="s">
        <v>4</v>
      </c>
      <c r="CG6" s="1" t="s">
        <v>5</v>
      </c>
      <c r="CH6" s="1" t="s">
        <v>6</v>
      </c>
      <c r="CI6" s="1" t="s">
        <v>7</v>
      </c>
      <c r="CJ6" s="1" t="s">
        <v>8</v>
      </c>
      <c r="CK6" s="1" t="s">
        <v>9</v>
      </c>
      <c r="CL6" s="1" t="s">
        <v>10</v>
      </c>
      <c r="CM6" s="1" t="s">
        <v>11</v>
      </c>
      <c r="CN6" s="1" t="s">
        <v>12</v>
      </c>
      <c r="CS6" s="1" t="s">
        <v>4</v>
      </c>
      <c r="CT6" s="1" t="s">
        <v>5</v>
      </c>
      <c r="CU6" s="1" t="s">
        <v>6</v>
      </c>
      <c r="CV6" s="1" t="s">
        <v>7</v>
      </c>
      <c r="CW6" s="1" t="s">
        <v>8</v>
      </c>
      <c r="CX6" s="1" t="s">
        <v>9</v>
      </c>
      <c r="CY6" s="1" t="s">
        <v>10</v>
      </c>
      <c r="CZ6" s="1" t="s">
        <v>11</v>
      </c>
      <c r="DA6" s="1" t="s">
        <v>12</v>
      </c>
      <c r="DF6" s="1" t="s">
        <v>4</v>
      </c>
      <c r="DG6" s="1" t="s">
        <v>5</v>
      </c>
      <c r="DH6" s="1" t="s">
        <v>6</v>
      </c>
      <c r="DI6" s="1" t="s">
        <v>7</v>
      </c>
      <c r="DJ6" s="1" t="s">
        <v>8</v>
      </c>
      <c r="DK6" s="1" t="s">
        <v>9</v>
      </c>
      <c r="DL6" s="1" t="s">
        <v>10</v>
      </c>
      <c r="DM6" s="1" t="s">
        <v>11</v>
      </c>
      <c r="DN6" s="1" t="s">
        <v>12</v>
      </c>
      <c r="DP6" s="1" t="s">
        <v>34</v>
      </c>
      <c r="DS6" s="1" t="s">
        <v>4</v>
      </c>
      <c r="DT6" s="1" t="s">
        <v>5</v>
      </c>
      <c r="DU6" s="1" t="s">
        <v>6</v>
      </c>
      <c r="DV6" s="1" t="s">
        <v>7</v>
      </c>
      <c r="DW6" s="1" t="s">
        <v>8</v>
      </c>
      <c r="DX6" s="1" t="s">
        <v>9</v>
      </c>
      <c r="DY6" s="1" t="s">
        <v>10</v>
      </c>
      <c r="DZ6" s="1" t="s">
        <v>11</v>
      </c>
      <c r="EA6" s="1" t="s">
        <v>12</v>
      </c>
      <c r="EF6" s="1" t="s">
        <v>4</v>
      </c>
      <c r="EG6" s="1" t="s">
        <v>5</v>
      </c>
      <c r="EH6" s="1" t="s">
        <v>6</v>
      </c>
      <c r="EI6" s="1" t="s">
        <v>7</v>
      </c>
      <c r="EJ6" s="1" t="s">
        <v>8</v>
      </c>
      <c r="EK6" s="1" t="s">
        <v>9</v>
      </c>
      <c r="EL6" s="1" t="s">
        <v>10</v>
      </c>
      <c r="EM6" s="1" t="s">
        <v>11</v>
      </c>
      <c r="EN6" s="1" t="s">
        <v>12</v>
      </c>
      <c r="ES6" s="1" t="s">
        <v>4</v>
      </c>
      <c r="ET6" s="1" t="s">
        <v>5</v>
      </c>
      <c r="EU6" s="1" t="s">
        <v>6</v>
      </c>
      <c r="EV6" s="1" t="s">
        <v>7</v>
      </c>
      <c r="EW6" s="1" t="s">
        <v>8</v>
      </c>
      <c r="EX6" s="1" t="s">
        <v>9</v>
      </c>
      <c r="EY6" s="1" t="s">
        <v>10</v>
      </c>
      <c r="EZ6" s="1" t="s">
        <v>11</v>
      </c>
      <c r="FA6" s="1" t="s">
        <v>12</v>
      </c>
      <c r="FF6" s="1" t="s">
        <v>4</v>
      </c>
      <c r="FG6" s="1" t="s">
        <v>5</v>
      </c>
      <c r="FH6" s="1" t="s">
        <v>6</v>
      </c>
      <c r="FI6" s="1" t="s">
        <v>7</v>
      </c>
      <c r="FJ6" s="1" t="s">
        <v>8</v>
      </c>
      <c r="FK6" s="1" t="s">
        <v>9</v>
      </c>
      <c r="FL6" s="1" t="s">
        <v>10</v>
      </c>
      <c r="FM6" s="1" t="s">
        <v>11</v>
      </c>
      <c r="FN6" s="1" t="s">
        <v>12</v>
      </c>
      <c r="FS6" s="1" t="s">
        <v>4</v>
      </c>
      <c r="FT6" s="1" t="s">
        <v>5</v>
      </c>
      <c r="FU6" s="1" t="s">
        <v>6</v>
      </c>
      <c r="FV6" s="1" t="s">
        <v>7</v>
      </c>
      <c r="FW6" s="1" t="s">
        <v>8</v>
      </c>
      <c r="FX6" s="1" t="s">
        <v>9</v>
      </c>
      <c r="FY6" s="1" t="s">
        <v>10</v>
      </c>
      <c r="FZ6" s="1" t="s">
        <v>11</v>
      </c>
      <c r="GA6" s="1" t="s">
        <v>12</v>
      </c>
      <c r="GD6" s="1" t="s">
        <v>0</v>
      </c>
      <c r="GE6" s="1" t="s">
        <v>26</v>
      </c>
      <c r="GF6" s="1" t="s">
        <v>35</v>
      </c>
      <c r="GI6" s="1" t="s">
        <v>0</v>
      </c>
      <c r="GJ6" s="1" t="s">
        <v>36</v>
      </c>
      <c r="GK6" s="1" t="s">
        <v>39</v>
      </c>
      <c r="GL6" s="1" t="s">
        <v>37</v>
      </c>
      <c r="GM6" s="1" t="s">
        <v>38</v>
      </c>
    </row>
    <row r="7" spans="2:195" x14ac:dyDescent="0.3">
      <c r="B7" s="1">
        <v>10</v>
      </c>
      <c r="C7" s="1">
        <f>1/B7</f>
        <v>0.1</v>
      </c>
      <c r="F7" s="3">
        <f t="shared" ref="F7:F16" si="0">B7</f>
        <v>10</v>
      </c>
      <c r="G7" s="3">
        <v>10</v>
      </c>
      <c r="H7" s="3">
        <f>1/F7</f>
        <v>0.1</v>
      </c>
      <c r="I7" s="3">
        <f>1/G7</f>
        <v>0.1</v>
      </c>
      <c r="J7" s="3">
        <f>H7/I7</f>
        <v>1</v>
      </c>
      <c r="K7" s="3" t="e">
        <f>J7/(1-J7)</f>
        <v>#DIV/0!</v>
      </c>
      <c r="L7" s="3" t="e">
        <f>K7/H7</f>
        <v>#DIV/0!</v>
      </c>
      <c r="M7" s="3" t="e">
        <f>K7-J7</f>
        <v>#DIV/0!</v>
      </c>
      <c r="N7" s="3" t="e">
        <f>M7/H7</f>
        <v>#DIV/0!</v>
      </c>
      <c r="Q7" s="1" t="s">
        <v>42</v>
      </c>
      <c r="S7" s="1">
        <f>F7/Q8</f>
        <v>9.5</v>
      </c>
      <c r="T7" s="1">
        <v>5</v>
      </c>
      <c r="U7" s="1">
        <f>1/S7</f>
        <v>0.10526315789473684</v>
      </c>
      <c r="V7" s="1">
        <f>1/T7</f>
        <v>0.2</v>
      </c>
      <c r="W7" s="1">
        <f>U7/V7</f>
        <v>0.52631578947368418</v>
      </c>
      <c r="X7" s="1">
        <f t="shared" ref="X7:X16" si="1">W7/(1-W7)</f>
        <v>1.1111111111111109</v>
      </c>
      <c r="Y7" s="1">
        <f t="shared" ref="Y7:Y16" si="2">X7/U7</f>
        <v>10.555555555555555</v>
      </c>
      <c r="Z7" s="1">
        <f t="shared" ref="Z7:Z16" si="3">X7-W7</f>
        <v>0.58479532163742676</v>
      </c>
      <c r="AA7" s="1">
        <f t="shared" ref="AA7:AA16" si="4">Z7/U7</f>
        <v>5.5555555555555545</v>
      </c>
      <c r="AD7" s="1" t="s">
        <v>17</v>
      </c>
      <c r="AF7" s="1">
        <f>S7/AD8</f>
        <v>190</v>
      </c>
      <c r="AG7" s="1">
        <v>15</v>
      </c>
      <c r="AH7" s="1">
        <f>1/AF7</f>
        <v>5.263157894736842E-3</v>
      </c>
      <c r="AI7" s="1">
        <f>1/AG7</f>
        <v>6.6666666666666666E-2</v>
      </c>
      <c r="AJ7" s="1">
        <f>AH7/AI7</f>
        <v>7.8947368421052627E-2</v>
      </c>
      <c r="AK7" s="1">
        <f>AJ7/(1-AJ7)</f>
        <v>8.5714285714285715E-2</v>
      </c>
      <c r="AL7" s="1">
        <f>AK7/AH7</f>
        <v>16.285714285714285</v>
      </c>
      <c r="AM7" s="1">
        <f>AK7-AJ7</f>
        <v>6.7669172932330879E-3</v>
      </c>
      <c r="AN7" s="1">
        <f>AM7/AH7</f>
        <v>1.2857142857142867</v>
      </c>
      <c r="AS7" s="1">
        <f>S7</f>
        <v>9.5</v>
      </c>
      <c r="AT7" s="1">
        <v>5</v>
      </c>
      <c r="AU7" s="1">
        <f>1/AS7</f>
        <v>0.10526315789473684</v>
      </c>
      <c r="AV7" s="1">
        <f>1/AT7</f>
        <v>0.2</v>
      </c>
      <c r="AW7" s="1">
        <f>AU7/AV7</f>
        <v>0.52631578947368418</v>
      </c>
      <c r="AX7" s="1">
        <f>AW7/(1-AW7)</f>
        <v>1.1111111111111109</v>
      </c>
      <c r="AY7" s="1">
        <f>AX7/AU7</f>
        <v>10.555555555555555</v>
      </c>
      <c r="AZ7" s="1">
        <f>AX7-AW7</f>
        <v>0.58479532163742676</v>
      </c>
      <c r="BA7" s="1">
        <f>AZ7/AU7</f>
        <v>5.5555555555555545</v>
      </c>
      <c r="BF7" s="1">
        <f>AS7</f>
        <v>9.5</v>
      </c>
      <c r="BG7" s="1">
        <v>16</v>
      </c>
      <c r="BH7" s="1">
        <f>1/BF7</f>
        <v>0.10526315789473684</v>
      </c>
      <c r="BI7" s="1">
        <f>1/BG7</f>
        <v>6.25E-2</v>
      </c>
      <c r="BJ7" s="1">
        <f>BH7/(BI7*2)</f>
        <v>0.84210526315789469</v>
      </c>
      <c r="BK7" s="1">
        <f>BJ7/(1-BJ7)</f>
        <v>5.3333333333333313</v>
      </c>
      <c r="BL7" s="1">
        <f>BG7/(1-BJ7^2)</f>
        <v>55.009523809523792</v>
      </c>
      <c r="BM7" s="1">
        <f>BK7-BJ7</f>
        <v>4.4912280701754366</v>
      </c>
      <c r="BN7" s="1">
        <f>BM7/BH7</f>
        <v>42.66666666666665</v>
      </c>
      <c r="BS7" s="1">
        <f>BF7</f>
        <v>9.5</v>
      </c>
      <c r="BT7" s="1">
        <v>10</v>
      </c>
      <c r="BU7" s="1">
        <f>1/BS7</f>
        <v>0.10526315789473684</v>
      </c>
      <c r="BV7" s="1">
        <f>1/BT7</f>
        <v>0.1</v>
      </c>
      <c r="BW7" s="1">
        <f>BU7/BV7</f>
        <v>1.0526315789473684</v>
      </c>
      <c r="BX7" s="1">
        <f>BW7/(1-BW7)</f>
        <v>-20.000000000000021</v>
      </c>
      <c r="BY7" s="1">
        <f>BX7/BU7</f>
        <v>-190.0000000000002</v>
      </c>
      <c r="BZ7" s="1">
        <f>BX7-BW7</f>
        <v>-21.052631578947391</v>
      </c>
      <c r="CA7" s="1">
        <f>BZ7/BU7</f>
        <v>-200.00000000000023</v>
      </c>
      <c r="CC7" s="1">
        <f>(BL7+BY7)-1/((1/BL7)+(1/BY7))</f>
        <v>-212.41674964892138</v>
      </c>
      <c r="CF7" s="1">
        <f>BF7</f>
        <v>9.5</v>
      </c>
      <c r="CG7" s="1">
        <v>16</v>
      </c>
      <c r="CH7" s="1">
        <f>1/CF7</f>
        <v>0.10526315789473684</v>
      </c>
      <c r="CI7" s="1">
        <f>1/CG7</f>
        <v>6.25E-2</v>
      </c>
      <c r="CJ7" s="1">
        <f>CH7/(CI7*2)</f>
        <v>0.84210526315789469</v>
      </c>
      <c r="CK7" s="1">
        <f>CJ7/(1-CJ7)</f>
        <v>5.3333333333333313</v>
      </c>
      <c r="CL7" s="1">
        <f>CG7/(1-CJ7^2)</f>
        <v>55.009523809523792</v>
      </c>
      <c r="CM7" s="1">
        <f>CK7-CJ7</f>
        <v>4.4912280701754366</v>
      </c>
      <c r="CN7" s="1">
        <f>CM7/CH7</f>
        <v>42.66666666666665</v>
      </c>
      <c r="CS7" s="1">
        <f>CF7</f>
        <v>9.5</v>
      </c>
      <c r="CT7" s="1">
        <v>5</v>
      </c>
      <c r="CU7" s="1">
        <f>1/CS7</f>
        <v>0.10526315789473684</v>
      </c>
      <c r="CV7" s="1">
        <f>1/CT7</f>
        <v>0.2</v>
      </c>
      <c r="CW7" s="1">
        <f>CU7/CV7</f>
        <v>0.52631578947368418</v>
      </c>
      <c r="CX7" s="1">
        <f>CW7/(1-CW7)</f>
        <v>1.1111111111111109</v>
      </c>
      <c r="CY7" s="1">
        <f>CX7/CU7</f>
        <v>10.555555555555555</v>
      </c>
      <c r="CZ7" s="1">
        <f>CX7-CW7</f>
        <v>0.58479532163742676</v>
      </c>
      <c r="DA7" s="1">
        <f>CZ7/CU7</f>
        <v>5.5555555555555545</v>
      </c>
      <c r="DF7" s="1">
        <f>CS7</f>
        <v>9.5</v>
      </c>
      <c r="DG7" s="1">
        <v>13</v>
      </c>
      <c r="DH7" s="1">
        <f>1/DF7</f>
        <v>0.10526315789473684</v>
      </c>
      <c r="DI7" s="1">
        <f>1/DG7</f>
        <v>7.6923076923076927E-2</v>
      </c>
      <c r="DJ7" s="1">
        <f>DH7/DI7</f>
        <v>1.3684210526315788</v>
      </c>
      <c r="DK7" s="1">
        <f>DJ7/(1-DJ7)</f>
        <v>-3.7142857142857157</v>
      </c>
      <c r="DL7" s="1">
        <f>DK7/DH7</f>
        <v>-35.285714285714299</v>
      </c>
      <c r="DM7" s="1">
        <f>DK7-DJ7</f>
        <v>-5.0827067669172941</v>
      </c>
      <c r="DN7" s="1">
        <f>DM7/DH7</f>
        <v>-48.285714285714299</v>
      </c>
      <c r="DP7" s="1">
        <f t="shared" ref="DP7:DP16" si="5">Y7+(AL7*$AD$8)+AY7+CC7+CL7+CY7+DL7</f>
        <v>-160.2119877441595</v>
      </c>
      <c r="DQ7" s="4" t="s">
        <v>17</v>
      </c>
      <c r="DS7" s="1">
        <f>DF7/DQ8</f>
        <v>10</v>
      </c>
      <c r="DT7" s="1">
        <v>3</v>
      </c>
      <c r="DU7" s="1">
        <f>1/DS7</f>
        <v>0.1</v>
      </c>
      <c r="DV7" s="1">
        <f>1/DT7</f>
        <v>0.33333333333333331</v>
      </c>
      <c r="DW7" s="1">
        <f>DU7/DV7</f>
        <v>0.30000000000000004</v>
      </c>
      <c r="DX7" s="1">
        <f>DW7/(1-DW7)</f>
        <v>0.42857142857142866</v>
      </c>
      <c r="DY7" s="1">
        <f>DX7/DU7</f>
        <v>4.2857142857142865</v>
      </c>
      <c r="DZ7" s="1">
        <f>DX7-DW7</f>
        <v>0.12857142857142861</v>
      </c>
      <c r="EA7" s="1">
        <f>DZ7/DU7</f>
        <v>1.285714285714286</v>
      </c>
      <c r="ED7" s="1" t="s">
        <v>17</v>
      </c>
      <c r="EF7" s="1">
        <f>DS7/$ED$8</f>
        <v>20</v>
      </c>
      <c r="EG7" s="1">
        <v>3</v>
      </c>
      <c r="EH7" s="1">
        <f>1/EF7</f>
        <v>0.05</v>
      </c>
      <c r="EI7" s="1">
        <f>1/EG7</f>
        <v>0.33333333333333331</v>
      </c>
      <c r="EJ7" s="1">
        <f>EH7/EI7</f>
        <v>0.15000000000000002</v>
      </c>
      <c r="EK7" s="1">
        <f>EJ7/(1-EJ7)</f>
        <v>0.17647058823529416</v>
      </c>
      <c r="EL7" s="1">
        <f>EK7/EH7</f>
        <v>3.5294117647058831</v>
      </c>
      <c r="EM7" s="1">
        <f>EK7-EJ7</f>
        <v>2.6470588235294135E-2</v>
      </c>
      <c r="EN7" s="1">
        <f>EM7/EH7</f>
        <v>0.52941176470588269</v>
      </c>
      <c r="EQ7" s="1" t="s">
        <v>17</v>
      </c>
      <c r="ES7" s="1">
        <f>DS7/$EQ$8</f>
        <v>20</v>
      </c>
      <c r="ET7" s="1">
        <v>3</v>
      </c>
      <c r="EU7" s="1">
        <f>1/ES7</f>
        <v>0.05</v>
      </c>
      <c r="EV7" s="1">
        <f>1/ET7</f>
        <v>0.33333333333333331</v>
      </c>
      <c r="EW7" s="1">
        <f>EU7/EV7</f>
        <v>0.15000000000000002</v>
      </c>
      <c r="EX7" s="1">
        <f>EW7/(1-EW7)</f>
        <v>0.17647058823529416</v>
      </c>
      <c r="EY7" s="1">
        <f>EX7/EU7</f>
        <v>3.5294117647058831</v>
      </c>
      <c r="EZ7" s="1">
        <f>EX7-EW7</f>
        <v>2.6470588235294135E-2</v>
      </c>
      <c r="FA7" s="1">
        <f>EZ7/EU7</f>
        <v>0.52941176470588269</v>
      </c>
      <c r="FF7" s="1">
        <f>DS7</f>
        <v>10</v>
      </c>
      <c r="FG7" s="1">
        <v>5</v>
      </c>
      <c r="FH7" s="1">
        <f>1/FF7</f>
        <v>0.1</v>
      </c>
      <c r="FI7" s="1">
        <f>1/FG7</f>
        <v>0.2</v>
      </c>
      <c r="FJ7" s="1">
        <f>FH7/FI7</f>
        <v>0.5</v>
      </c>
      <c r="FK7" s="1">
        <f>FJ7/(1-FJ7)</f>
        <v>1</v>
      </c>
      <c r="FL7" s="1">
        <f>FK7/FH7</f>
        <v>10</v>
      </c>
      <c r="FM7" s="1">
        <f>FK7-FJ7</f>
        <v>0.5</v>
      </c>
      <c r="FN7" s="1">
        <f>FM7/FH7</f>
        <v>5</v>
      </c>
      <c r="FS7" s="1">
        <f>FF7</f>
        <v>10</v>
      </c>
      <c r="FT7" s="1">
        <v>8</v>
      </c>
      <c r="FU7" s="1">
        <f>1/FS7</f>
        <v>0.1</v>
      </c>
      <c r="FV7" s="1">
        <f>1/FT7</f>
        <v>0.125</v>
      </c>
      <c r="FW7" s="1">
        <f>FU7/FV7</f>
        <v>0.8</v>
      </c>
      <c r="FX7" s="1">
        <f>FW7/(1-FW7)</f>
        <v>4.0000000000000009</v>
      </c>
      <c r="FY7" s="1">
        <f>FX7/FU7</f>
        <v>40.000000000000007</v>
      </c>
      <c r="FZ7" s="1">
        <f>FX7-FW7</f>
        <v>3.2000000000000011</v>
      </c>
      <c r="GA7" s="1">
        <f>FZ7/FU7</f>
        <v>32.000000000000007</v>
      </c>
      <c r="GD7" s="1">
        <v>10</v>
      </c>
      <c r="GE7" s="1" t="e">
        <f t="shared" ref="GE7:GE8" si="6">L7+Y7+(AL7*$AD$8)+AY7+CC7+CL7+CY7+DL7+DY7+(EL7*$ED$8)+(EY7*$EQ$8)+FL7+FY7+(DP7*$Q$11)</f>
        <v>#DIV/0!</v>
      </c>
      <c r="GF7" s="1">
        <v>3199.09</v>
      </c>
      <c r="GI7" s="1">
        <v>10</v>
      </c>
      <c r="GJ7" s="1">
        <f>DP7</f>
        <v>-160.2119877441595</v>
      </c>
      <c r="GK7" s="1">
        <v>0.05</v>
      </c>
      <c r="GL7" s="1">
        <f>GJ7*GK7</f>
        <v>-8.010599387207975</v>
      </c>
      <c r="GM7" s="1">
        <f>GJ7+GL7</f>
        <v>-168.22258713136748</v>
      </c>
    </row>
    <row r="8" spans="2:195" x14ac:dyDescent="0.3">
      <c r="B8" s="1">
        <v>15</v>
      </c>
      <c r="C8" s="1">
        <f t="shared" ref="C8" si="7">1/B8</f>
        <v>6.6666666666666666E-2</v>
      </c>
      <c r="F8" s="1">
        <f t="shared" si="0"/>
        <v>15</v>
      </c>
      <c r="G8" s="1">
        <v>10</v>
      </c>
      <c r="H8" s="1">
        <f t="shared" ref="H8:I16" si="8">1/F8</f>
        <v>6.6666666666666666E-2</v>
      </c>
      <c r="I8" s="1">
        <f t="shared" si="8"/>
        <v>0.1</v>
      </c>
      <c r="J8" s="1">
        <f t="shared" ref="J8:J16" si="9">H8/I8</f>
        <v>0.66666666666666663</v>
      </c>
      <c r="K8" s="1">
        <f t="shared" ref="K8:K16" si="10">J8/(1-J8)</f>
        <v>1.9999999999999998</v>
      </c>
      <c r="L8" s="1">
        <f t="shared" ref="L8:L16" si="11">K8/H8</f>
        <v>29.999999999999996</v>
      </c>
      <c r="M8" s="1">
        <f t="shared" ref="M8:M16" si="12">K8-J8</f>
        <v>1.333333333333333</v>
      </c>
      <c r="N8" s="1">
        <f t="shared" ref="N8:N16" si="13">M8/H8</f>
        <v>19.999999999999996</v>
      </c>
      <c r="Q8" s="1">
        <f>1/(1-Q11)</f>
        <v>1.0526315789473684</v>
      </c>
      <c r="S8" s="1">
        <f>F8/Q8</f>
        <v>14.25</v>
      </c>
      <c r="T8" s="1">
        <v>5</v>
      </c>
      <c r="U8" s="1">
        <f t="shared" ref="U8:V16" si="14">1/S8</f>
        <v>7.0175438596491224E-2</v>
      </c>
      <c r="V8" s="1">
        <f t="shared" si="14"/>
        <v>0.2</v>
      </c>
      <c r="W8" s="1">
        <f t="shared" ref="W8:W16" si="15">U8/V8</f>
        <v>0.35087719298245612</v>
      </c>
      <c r="X8" s="1">
        <f t="shared" si="1"/>
        <v>0.54054054054054046</v>
      </c>
      <c r="Y8" s="1">
        <f t="shared" si="2"/>
        <v>7.7027027027027017</v>
      </c>
      <c r="Z8" s="1">
        <f t="shared" si="3"/>
        <v>0.18966334755808434</v>
      </c>
      <c r="AA8" s="1">
        <f t="shared" si="4"/>
        <v>2.7027027027027022</v>
      </c>
      <c r="AD8" s="1">
        <v>0.05</v>
      </c>
      <c r="AF8" s="1">
        <f>S8/AD8</f>
        <v>285</v>
      </c>
      <c r="AG8" s="1">
        <v>15</v>
      </c>
      <c r="AH8" s="1">
        <f t="shared" ref="AH8:AI16" si="16">1/AF8</f>
        <v>3.5087719298245615E-3</v>
      </c>
      <c r="AI8" s="1">
        <f t="shared" si="16"/>
        <v>6.6666666666666666E-2</v>
      </c>
      <c r="AJ8" s="1">
        <f t="shared" ref="AJ8:AJ16" si="17">AH8/AI8</f>
        <v>5.2631578947368425E-2</v>
      </c>
      <c r="AK8" s="1">
        <f t="shared" ref="AK8:AK16" si="18">AJ8/(1-AJ8)</f>
        <v>5.5555555555555566E-2</v>
      </c>
      <c r="AL8" s="1">
        <f t="shared" ref="AL8:AL16" si="19">AK8/AH8</f>
        <v>15.833333333333336</v>
      </c>
      <c r="AM8" s="1">
        <f t="shared" ref="AM8:AM16" si="20">AK8-AJ8</f>
        <v>2.9239766081871413E-3</v>
      </c>
      <c r="AN8" s="1">
        <f t="shared" ref="AN8:AN16" si="21">AM8/AH8</f>
        <v>0.83333333333333526</v>
      </c>
      <c r="AS8" s="1">
        <f t="shared" ref="AS8:AS16" si="22">S8</f>
        <v>14.25</v>
      </c>
      <c r="AT8" s="1">
        <v>5</v>
      </c>
      <c r="AU8" s="1">
        <f t="shared" ref="AU8:AU16" si="23">1/AS8</f>
        <v>7.0175438596491224E-2</v>
      </c>
      <c r="AV8" s="1">
        <f t="shared" ref="AV8:AV16" si="24">1/AT8</f>
        <v>0.2</v>
      </c>
      <c r="AW8" s="1">
        <f t="shared" ref="AW8:AW16" si="25">AU8/AV8</f>
        <v>0.35087719298245612</v>
      </c>
      <c r="AX8" s="1">
        <f t="shared" ref="AX8:AX16" si="26">AW8/(1-AW8)</f>
        <v>0.54054054054054046</v>
      </c>
      <c r="AY8" s="1">
        <f t="shared" ref="AY8:AY16" si="27">AX8/AU8</f>
        <v>7.7027027027027017</v>
      </c>
      <c r="AZ8" s="1">
        <f t="shared" ref="AZ8:AZ16" si="28">AX8-AW8</f>
        <v>0.18966334755808434</v>
      </c>
      <c r="BA8" s="1">
        <f t="shared" ref="BA8:BA16" si="29">AZ8/AU8</f>
        <v>2.7027027027027022</v>
      </c>
      <c r="BF8" s="1">
        <f t="shared" ref="BF8:BF16" si="30">AS8</f>
        <v>14.25</v>
      </c>
      <c r="BG8" s="1">
        <v>16</v>
      </c>
      <c r="BH8" s="1">
        <f t="shared" ref="BH8:BH16" si="31">1/BF8</f>
        <v>7.0175438596491224E-2</v>
      </c>
      <c r="BI8" s="1">
        <f t="shared" ref="BI8:BI16" si="32">1/BG8</f>
        <v>6.25E-2</v>
      </c>
      <c r="BJ8" s="1">
        <f t="shared" ref="BJ8:BJ16" si="33">BH8/(BI8*2)</f>
        <v>0.56140350877192979</v>
      </c>
      <c r="BK8" s="1">
        <f t="shared" ref="BK8:BK16" si="34">BJ8/(1-BJ8)</f>
        <v>1.2799999999999998</v>
      </c>
      <c r="BL8" s="1">
        <f t="shared" ref="BL8:BL16" si="35">BG8/(1-BJ8^2)</f>
        <v>23.363595505617976</v>
      </c>
      <c r="BM8" s="1">
        <f t="shared" ref="BM8:BM16" si="36">BK8-BJ8</f>
        <v>0.71859649122807001</v>
      </c>
      <c r="BN8" s="1">
        <f t="shared" ref="BN8:BN16" si="37">BM8/BH8</f>
        <v>10.239999999999998</v>
      </c>
      <c r="BS8" s="1">
        <f t="shared" ref="BS8:BS16" si="38">BF8</f>
        <v>14.25</v>
      </c>
      <c r="BT8" s="1">
        <v>10</v>
      </c>
      <c r="BU8" s="1">
        <f t="shared" ref="BU8:BU16" si="39">1/BS8</f>
        <v>7.0175438596491224E-2</v>
      </c>
      <c r="BV8" s="1">
        <f t="shared" ref="BV8:BV16" si="40">1/BT8</f>
        <v>0.1</v>
      </c>
      <c r="BW8" s="1">
        <f t="shared" ref="BW8:BW16" si="41">BU8/BV8</f>
        <v>0.70175438596491224</v>
      </c>
      <c r="BX8" s="1">
        <f t="shared" ref="BX8:BX16" si="42">BW8/(1-BW8)</f>
        <v>2.3529411764705879</v>
      </c>
      <c r="BY8" s="1">
        <f t="shared" ref="BY8:BY16" si="43">BX8/BU8</f>
        <v>33.529411764705877</v>
      </c>
      <c r="BZ8" s="1">
        <f t="shared" ref="BZ8:BZ16" si="44">BX8-BW8</f>
        <v>1.6511867905056756</v>
      </c>
      <c r="CA8" s="1">
        <f t="shared" ref="CA8:CA16" si="45">BZ8/BU8</f>
        <v>23.52941176470588</v>
      </c>
      <c r="CC8" s="1">
        <f t="shared" ref="CC8:CC16" si="46">(BL8+BY8)-1/((1/BL8)+(1/BY8))</f>
        <v>43.123870225242534</v>
      </c>
      <c r="CF8" s="1">
        <f>BF8</f>
        <v>14.25</v>
      </c>
      <c r="CG8" s="1">
        <v>16</v>
      </c>
      <c r="CH8" s="1">
        <f t="shared" ref="CH8:CH16" si="47">1/CF8</f>
        <v>7.0175438596491224E-2</v>
      </c>
      <c r="CI8" s="1">
        <f t="shared" ref="CI8:CI16" si="48">1/CG8</f>
        <v>6.25E-2</v>
      </c>
      <c r="CJ8" s="1">
        <f t="shared" ref="CJ8:CJ16" si="49">CH8/(CI8*2)</f>
        <v>0.56140350877192979</v>
      </c>
      <c r="CK8" s="1">
        <f t="shared" ref="CK8:CK16" si="50">CJ8/(1-CJ8)</f>
        <v>1.2799999999999998</v>
      </c>
      <c r="CL8" s="1">
        <f t="shared" ref="CL8:CL16" si="51">CG8/(1-CJ8^2)</f>
        <v>23.363595505617976</v>
      </c>
      <c r="CM8" s="1">
        <f t="shared" ref="CM8:CM16" si="52">CK8-CJ8</f>
        <v>0.71859649122807001</v>
      </c>
      <c r="CN8" s="1">
        <f t="shared" ref="CN8:CN16" si="53">CM8/CH8</f>
        <v>10.239999999999998</v>
      </c>
      <c r="CS8" s="1">
        <f t="shared" ref="CS8:CS16" si="54">CF8</f>
        <v>14.25</v>
      </c>
      <c r="CT8" s="1">
        <v>5</v>
      </c>
      <c r="CU8" s="1">
        <f t="shared" ref="CU8:CU16" si="55">1/CS8</f>
        <v>7.0175438596491224E-2</v>
      </c>
      <c r="CV8" s="1">
        <f t="shared" ref="CV8:CV16" si="56">1/CT8</f>
        <v>0.2</v>
      </c>
      <c r="CW8" s="1">
        <f t="shared" ref="CW8:CW16" si="57">CU8/CV8</f>
        <v>0.35087719298245612</v>
      </c>
      <c r="CX8" s="1">
        <f t="shared" ref="CX8:CX16" si="58">CW8/(1-CW8)</f>
        <v>0.54054054054054046</v>
      </c>
      <c r="CY8" s="1">
        <f t="shared" ref="CY8:CY16" si="59">CX8/CU8</f>
        <v>7.7027027027027017</v>
      </c>
      <c r="CZ8" s="1">
        <f t="shared" ref="CZ8:CZ16" si="60">CX8-CW8</f>
        <v>0.18966334755808434</v>
      </c>
      <c r="DA8" s="1">
        <f t="shared" ref="DA8:DA16" si="61">CZ8/CU8</f>
        <v>2.7027027027027022</v>
      </c>
      <c r="DF8" s="1">
        <f t="shared" ref="DF8:DF16" si="62">CS8</f>
        <v>14.25</v>
      </c>
      <c r="DG8" s="1">
        <v>13</v>
      </c>
      <c r="DH8" s="1">
        <f t="shared" ref="DH8:DH16" si="63">1/DF8</f>
        <v>7.0175438596491224E-2</v>
      </c>
      <c r="DI8" s="1">
        <f t="shared" ref="DI8:DI16" si="64">1/DG8</f>
        <v>7.6923076923076927E-2</v>
      </c>
      <c r="DJ8" s="1">
        <f t="shared" ref="DJ8:DJ16" si="65">DH8/DI8</f>
        <v>0.91228070175438591</v>
      </c>
      <c r="DK8" s="1">
        <f t="shared" ref="DK8:DK16" si="66">DJ8/(1-DJ8)</f>
        <v>10.399999999999993</v>
      </c>
      <c r="DL8" s="1">
        <f t="shared" ref="DL8:DL16" si="67">DK8/DH8</f>
        <v>148.1999999999999</v>
      </c>
      <c r="DM8" s="1">
        <f t="shared" ref="DM8:DM16" si="68">DK8-DJ8</f>
        <v>9.487719298245608</v>
      </c>
      <c r="DN8" s="1">
        <f t="shared" ref="DN8:DN16" si="69">DM8/DH8</f>
        <v>135.19999999999993</v>
      </c>
      <c r="DP8" s="1">
        <f t="shared" si="5"/>
        <v>238.58724050563518</v>
      </c>
      <c r="DQ8" s="4">
        <v>0.95</v>
      </c>
      <c r="DS8" s="1">
        <f>DF8/DQ8</f>
        <v>15</v>
      </c>
      <c r="DT8" s="1">
        <v>3</v>
      </c>
      <c r="DU8" s="1">
        <f t="shared" ref="DU8:DU16" si="70">1/DS8</f>
        <v>6.6666666666666666E-2</v>
      </c>
      <c r="DV8" s="1">
        <f t="shared" ref="DV8:DV16" si="71">1/DT8</f>
        <v>0.33333333333333331</v>
      </c>
      <c r="DW8" s="1">
        <f t="shared" ref="DW8:DW16" si="72">DU8/DV8</f>
        <v>0.2</v>
      </c>
      <c r="DX8" s="1">
        <f t="shared" ref="DX8:DX16" si="73">DW8/(1-DW8)</f>
        <v>0.25</v>
      </c>
      <c r="DY8" s="1">
        <f t="shared" ref="DY8:DY16" si="74">DX8/DU8</f>
        <v>3.75</v>
      </c>
      <c r="DZ8" s="1">
        <f t="shared" ref="DZ8:DZ16" si="75">DX8-DW8</f>
        <v>4.9999999999999989E-2</v>
      </c>
      <c r="EA8" s="1">
        <f t="shared" ref="EA8:EA16" si="76">DZ8/DU8</f>
        <v>0.74999999999999989</v>
      </c>
      <c r="ED8" s="1">
        <v>0.5</v>
      </c>
      <c r="EF8" s="1">
        <f t="shared" ref="EF8:EF16" si="77">DS8/$ED$8</f>
        <v>30</v>
      </c>
      <c r="EG8" s="1">
        <v>3</v>
      </c>
      <c r="EH8" s="1">
        <f t="shared" ref="EH8:EH16" si="78">1/EF8</f>
        <v>3.3333333333333333E-2</v>
      </c>
      <c r="EI8" s="1">
        <f t="shared" ref="EI8:EI16" si="79">1/EG8</f>
        <v>0.33333333333333331</v>
      </c>
      <c r="EJ8" s="1">
        <f t="shared" ref="EJ8:EJ16" si="80">EH8/EI8</f>
        <v>0.1</v>
      </c>
      <c r="EK8" s="1">
        <f t="shared" ref="EK8:EK16" si="81">EJ8/(1-EJ8)</f>
        <v>0.11111111111111112</v>
      </c>
      <c r="EL8" s="1">
        <f t="shared" ref="EL8:EL16" si="82">EK8/EH8</f>
        <v>3.3333333333333335</v>
      </c>
      <c r="EM8" s="1">
        <f t="shared" ref="EM8:EM16" si="83">EK8-EJ8</f>
        <v>1.1111111111111113E-2</v>
      </c>
      <c r="EN8" s="1">
        <f t="shared" ref="EN8:EN16" si="84">EM8/EH8</f>
        <v>0.33333333333333343</v>
      </c>
      <c r="EQ8" s="1">
        <v>0.5</v>
      </c>
      <c r="ES8" s="1">
        <f t="shared" ref="ES8:ES16" si="85">DS8/$EQ$8</f>
        <v>30</v>
      </c>
      <c r="ET8" s="1">
        <v>3</v>
      </c>
      <c r="EU8" s="1">
        <f t="shared" ref="EU8:EU16" si="86">1/ES8</f>
        <v>3.3333333333333333E-2</v>
      </c>
      <c r="EV8" s="1">
        <f t="shared" ref="EV8:EV16" si="87">1/ET8</f>
        <v>0.33333333333333331</v>
      </c>
      <c r="EW8" s="1">
        <f t="shared" ref="EW8:EW16" si="88">EU8/EV8</f>
        <v>0.1</v>
      </c>
      <c r="EX8" s="1">
        <f t="shared" ref="EX8:EX16" si="89">EW8/(1-EW8)</f>
        <v>0.11111111111111112</v>
      </c>
      <c r="EY8" s="1">
        <f t="shared" ref="EY8:EY16" si="90">EX8/EU8</f>
        <v>3.3333333333333335</v>
      </c>
      <c r="EZ8" s="1">
        <f t="shared" ref="EZ8:EZ16" si="91">EX8-EW8</f>
        <v>1.1111111111111113E-2</v>
      </c>
      <c r="FA8" s="1">
        <f t="shared" ref="FA8:FA16" si="92">EZ8/EU8</f>
        <v>0.33333333333333343</v>
      </c>
      <c r="FF8" s="1">
        <f t="shared" ref="FF8:FF16" si="93">DS8</f>
        <v>15</v>
      </c>
      <c r="FG8" s="1">
        <v>5</v>
      </c>
      <c r="FH8" s="1">
        <f t="shared" ref="FH8:FH16" si="94">1/FF8</f>
        <v>6.6666666666666666E-2</v>
      </c>
      <c r="FI8" s="1">
        <f t="shared" ref="FI8:FI16" si="95">1/FG8</f>
        <v>0.2</v>
      </c>
      <c r="FJ8" s="1">
        <f t="shared" ref="FJ8:FJ16" si="96">FH8/FI8</f>
        <v>0.33333333333333331</v>
      </c>
      <c r="FK8" s="1">
        <f t="shared" ref="FK8:FK16" si="97">FJ8/(1-FJ8)</f>
        <v>0.49999999999999994</v>
      </c>
      <c r="FL8" s="1">
        <f t="shared" ref="FL8:FL16" si="98">FK8/FH8</f>
        <v>7.4999999999999991</v>
      </c>
      <c r="FM8" s="1">
        <f t="shared" ref="FM8:FM16" si="99">FK8-FJ8</f>
        <v>0.16666666666666663</v>
      </c>
      <c r="FN8" s="1">
        <f t="shared" ref="FN8:FN16" si="100">FM8/FH8</f>
        <v>2.4999999999999996</v>
      </c>
      <c r="FS8" s="1">
        <f t="shared" ref="FS8:FS16" si="101">FF8</f>
        <v>15</v>
      </c>
      <c r="FT8" s="1">
        <v>8</v>
      </c>
      <c r="FU8" s="1">
        <f t="shared" ref="FU8:FU16" si="102">1/FS8</f>
        <v>6.6666666666666666E-2</v>
      </c>
      <c r="FV8" s="1">
        <f t="shared" ref="FV8:FV16" si="103">1/FT8</f>
        <v>0.125</v>
      </c>
      <c r="FW8" s="1">
        <f t="shared" ref="FW8:FW16" si="104">FU8/FV8</f>
        <v>0.53333333333333333</v>
      </c>
      <c r="FX8" s="1">
        <f t="shared" ref="FX8:FX16" si="105">FW8/(1-FW8)</f>
        <v>1.1428571428571428</v>
      </c>
      <c r="FY8" s="1">
        <f t="shared" ref="FY8:FY16" si="106">FX8/FU8</f>
        <v>17.142857142857142</v>
      </c>
      <c r="FZ8" s="1">
        <f t="shared" ref="FZ8:FZ16" si="107">FX8-FW8</f>
        <v>0.60952380952380947</v>
      </c>
      <c r="GA8" s="1">
        <f t="shared" ref="GA8:GA16" si="108">FZ8/FU8</f>
        <v>9.1428571428571423</v>
      </c>
      <c r="GD8" s="1">
        <v>15</v>
      </c>
      <c r="GE8" s="1">
        <f t="shared" si="6"/>
        <v>312.24279300710748</v>
      </c>
      <c r="GF8" s="1">
        <v>315.91000000000003</v>
      </c>
      <c r="GI8" s="1">
        <v>15</v>
      </c>
      <c r="GJ8" s="1">
        <f t="shared" ref="GJ8:GJ16" si="109">DP8</f>
        <v>238.58724050563518</v>
      </c>
      <c r="GK8" s="1">
        <v>0.05</v>
      </c>
      <c r="GL8" s="1">
        <f t="shared" ref="GL8:GL16" si="110">GJ8*GK8</f>
        <v>11.92936202528176</v>
      </c>
      <c r="GM8" s="1">
        <f t="shared" ref="GM8:GM16" si="111">GJ8+GL8</f>
        <v>250.51660253091694</v>
      </c>
    </row>
    <row r="9" spans="2:195" x14ac:dyDescent="0.3">
      <c r="B9" s="2">
        <v>20</v>
      </c>
      <c r="C9" s="2">
        <f t="shared" ref="C9:C16" si="112">1/B9</f>
        <v>0.05</v>
      </c>
      <c r="F9" s="2">
        <f t="shared" si="0"/>
        <v>20</v>
      </c>
      <c r="G9" s="2">
        <v>10</v>
      </c>
      <c r="H9" s="2">
        <f t="shared" si="8"/>
        <v>0.05</v>
      </c>
      <c r="I9" s="2">
        <f t="shared" si="8"/>
        <v>0.1</v>
      </c>
      <c r="J9" s="2">
        <f t="shared" si="9"/>
        <v>0.5</v>
      </c>
      <c r="K9" s="2">
        <f t="shared" si="10"/>
        <v>1</v>
      </c>
      <c r="L9" s="2">
        <f t="shared" si="11"/>
        <v>20</v>
      </c>
      <c r="M9" s="2">
        <f t="shared" si="12"/>
        <v>0.5</v>
      </c>
      <c r="N9" s="2">
        <f t="shared" si="13"/>
        <v>10</v>
      </c>
      <c r="S9" s="2">
        <f>F9/Q8</f>
        <v>19</v>
      </c>
      <c r="T9" s="2">
        <v>5</v>
      </c>
      <c r="U9" s="2">
        <f t="shared" si="14"/>
        <v>5.2631578947368418E-2</v>
      </c>
      <c r="V9" s="2">
        <f t="shared" si="14"/>
        <v>0.2</v>
      </c>
      <c r="W9" s="2">
        <f t="shared" si="15"/>
        <v>0.26315789473684209</v>
      </c>
      <c r="X9" s="2">
        <f t="shared" si="1"/>
        <v>0.3571428571428571</v>
      </c>
      <c r="Y9" s="2">
        <f t="shared" si="2"/>
        <v>6.7857142857142856</v>
      </c>
      <c r="Z9" s="2">
        <f t="shared" si="3"/>
        <v>9.3984962406015005E-2</v>
      </c>
      <c r="AA9" s="2">
        <f t="shared" si="4"/>
        <v>1.7857142857142851</v>
      </c>
      <c r="AF9" s="2">
        <f>S9/AD8</f>
        <v>380</v>
      </c>
      <c r="AG9" s="2">
        <v>15</v>
      </c>
      <c r="AH9" s="2">
        <f t="shared" si="16"/>
        <v>2.631578947368421E-3</v>
      </c>
      <c r="AI9" s="2">
        <f t="shared" si="16"/>
        <v>6.6666666666666666E-2</v>
      </c>
      <c r="AJ9" s="2">
        <f t="shared" si="17"/>
        <v>3.9473684210526314E-2</v>
      </c>
      <c r="AK9" s="2">
        <f t="shared" si="18"/>
        <v>4.1095890410958902E-2</v>
      </c>
      <c r="AL9" s="2">
        <f t="shared" si="19"/>
        <v>15.616438356164384</v>
      </c>
      <c r="AM9" s="2">
        <f t="shared" si="20"/>
        <v>1.6222062004325882E-3</v>
      </c>
      <c r="AN9" s="2">
        <f t="shared" si="21"/>
        <v>0.61643835616438358</v>
      </c>
      <c r="AS9" s="2">
        <f t="shared" si="22"/>
        <v>19</v>
      </c>
      <c r="AT9" s="2">
        <v>5</v>
      </c>
      <c r="AU9" s="2">
        <f t="shared" si="23"/>
        <v>5.2631578947368418E-2</v>
      </c>
      <c r="AV9" s="2">
        <f t="shared" si="24"/>
        <v>0.2</v>
      </c>
      <c r="AW9" s="2">
        <f t="shared" si="25"/>
        <v>0.26315789473684209</v>
      </c>
      <c r="AX9" s="2">
        <f t="shared" si="26"/>
        <v>0.3571428571428571</v>
      </c>
      <c r="AY9" s="2">
        <f t="shared" si="27"/>
        <v>6.7857142857142856</v>
      </c>
      <c r="AZ9" s="2">
        <f t="shared" si="28"/>
        <v>9.3984962406015005E-2</v>
      </c>
      <c r="BA9" s="2">
        <f t="shared" si="29"/>
        <v>1.7857142857142851</v>
      </c>
      <c r="BF9" s="2">
        <f t="shared" si="30"/>
        <v>19</v>
      </c>
      <c r="BG9" s="2">
        <v>16</v>
      </c>
      <c r="BH9" s="2">
        <f t="shared" si="31"/>
        <v>5.2631578947368418E-2</v>
      </c>
      <c r="BI9" s="2">
        <f t="shared" si="32"/>
        <v>6.25E-2</v>
      </c>
      <c r="BJ9" s="2">
        <f t="shared" si="33"/>
        <v>0.42105263157894735</v>
      </c>
      <c r="BK9" s="2">
        <f t="shared" si="34"/>
        <v>0.72727272727272718</v>
      </c>
      <c r="BL9" s="2">
        <f t="shared" si="35"/>
        <v>19.447811447811446</v>
      </c>
      <c r="BM9" s="2">
        <f t="shared" si="36"/>
        <v>0.30622009569377984</v>
      </c>
      <c r="BN9" s="2">
        <f t="shared" si="37"/>
        <v>5.8181818181818175</v>
      </c>
      <c r="BS9" s="2">
        <f t="shared" si="38"/>
        <v>19</v>
      </c>
      <c r="BT9" s="2">
        <v>10</v>
      </c>
      <c r="BU9" s="2">
        <f t="shared" si="39"/>
        <v>5.2631578947368418E-2</v>
      </c>
      <c r="BV9" s="2">
        <f t="shared" si="40"/>
        <v>0.1</v>
      </c>
      <c r="BW9" s="2">
        <f t="shared" si="41"/>
        <v>0.52631578947368418</v>
      </c>
      <c r="BX9" s="2">
        <f t="shared" si="42"/>
        <v>1.1111111111111109</v>
      </c>
      <c r="BY9" s="2">
        <f t="shared" si="43"/>
        <v>21.111111111111111</v>
      </c>
      <c r="BZ9" s="2">
        <f t="shared" si="44"/>
        <v>0.58479532163742676</v>
      </c>
      <c r="CA9" s="2">
        <f t="shared" si="45"/>
        <v>11.111111111111109</v>
      </c>
      <c r="CC9" s="2">
        <f t="shared" si="46"/>
        <v>30.436244675992313</v>
      </c>
      <c r="CF9" s="2">
        <f>BF9</f>
        <v>19</v>
      </c>
      <c r="CG9" s="2">
        <v>16</v>
      </c>
      <c r="CH9" s="2">
        <f t="shared" si="47"/>
        <v>5.2631578947368418E-2</v>
      </c>
      <c r="CI9" s="2">
        <f t="shared" si="48"/>
        <v>6.25E-2</v>
      </c>
      <c r="CJ9" s="2">
        <f t="shared" si="49"/>
        <v>0.42105263157894735</v>
      </c>
      <c r="CK9" s="2">
        <f t="shared" si="50"/>
        <v>0.72727272727272718</v>
      </c>
      <c r="CL9" s="2">
        <f t="shared" si="51"/>
        <v>19.447811447811446</v>
      </c>
      <c r="CM9" s="2">
        <f t="shared" si="52"/>
        <v>0.30622009569377984</v>
      </c>
      <c r="CN9" s="2">
        <f t="shared" si="53"/>
        <v>5.8181818181818175</v>
      </c>
      <c r="CS9" s="2">
        <f t="shared" si="54"/>
        <v>19</v>
      </c>
      <c r="CT9" s="2">
        <v>5</v>
      </c>
      <c r="CU9" s="2">
        <f t="shared" si="55"/>
        <v>5.2631578947368418E-2</v>
      </c>
      <c r="CV9" s="2">
        <f t="shared" si="56"/>
        <v>0.2</v>
      </c>
      <c r="CW9" s="2">
        <f t="shared" si="57"/>
        <v>0.26315789473684209</v>
      </c>
      <c r="CX9" s="2">
        <f t="shared" si="58"/>
        <v>0.3571428571428571</v>
      </c>
      <c r="CY9" s="2">
        <f t="shared" si="59"/>
        <v>6.7857142857142856</v>
      </c>
      <c r="CZ9" s="2">
        <f t="shared" si="60"/>
        <v>9.3984962406015005E-2</v>
      </c>
      <c r="DA9" s="2">
        <f t="shared" si="61"/>
        <v>1.7857142857142851</v>
      </c>
      <c r="DF9" s="2">
        <f t="shared" si="62"/>
        <v>19</v>
      </c>
      <c r="DG9" s="2">
        <v>13</v>
      </c>
      <c r="DH9" s="2">
        <f t="shared" si="63"/>
        <v>5.2631578947368418E-2</v>
      </c>
      <c r="DI9" s="2">
        <f t="shared" si="64"/>
        <v>7.6923076923076927E-2</v>
      </c>
      <c r="DJ9" s="2">
        <f t="shared" si="65"/>
        <v>0.68421052631578938</v>
      </c>
      <c r="DK9" s="2">
        <f t="shared" si="66"/>
        <v>2.1666666666666656</v>
      </c>
      <c r="DL9" s="2">
        <f t="shared" si="67"/>
        <v>41.16666666666665</v>
      </c>
      <c r="DM9" s="2">
        <f t="shared" si="68"/>
        <v>1.4824561403508763</v>
      </c>
      <c r="DN9" s="2">
        <f t="shared" si="69"/>
        <v>28.16666666666665</v>
      </c>
      <c r="DP9" s="1">
        <f>Y9+(AL9*$AD$8)+AY9+CC9+CL9+CY9+DL9</f>
        <v>112.1886875654215</v>
      </c>
      <c r="DS9" s="2">
        <f>DF9/DQ8</f>
        <v>20</v>
      </c>
      <c r="DT9" s="2">
        <v>3</v>
      </c>
      <c r="DU9" s="2">
        <f t="shared" si="70"/>
        <v>0.05</v>
      </c>
      <c r="DV9" s="2">
        <f t="shared" si="71"/>
        <v>0.33333333333333331</v>
      </c>
      <c r="DW9" s="2">
        <f t="shared" si="72"/>
        <v>0.15000000000000002</v>
      </c>
      <c r="DX9" s="2">
        <f t="shared" si="73"/>
        <v>0.17647058823529416</v>
      </c>
      <c r="DY9" s="2">
        <f t="shared" si="74"/>
        <v>3.5294117647058831</v>
      </c>
      <c r="DZ9" s="2">
        <f t="shared" si="75"/>
        <v>2.6470588235294135E-2</v>
      </c>
      <c r="EA9" s="2">
        <f t="shared" si="76"/>
        <v>0.52941176470588269</v>
      </c>
      <c r="EF9" s="2">
        <f t="shared" si="77"/>
        <v>40</v>
      </c>
      <c r="EG9" s="2">
        <v>3</v>
      </c>
      <c r="EH9" s="2">
        <f t="shared" si="78"/>
        <v>2.5000000000000001E-2</v>
      </c>
      <c r="EI9" s="2">
        <f t="shared" si="79"/>
        <v>0.33333333333333331</v>
      </c>
      <c r="EJ9" s="2">
        <f t="shared" si="80"/>
        <v>7.5000000000000011E-2</v>
      </c>
      <c r="EK9" s="2">
        <f t="shared" si="81"/>
        <v>8.1081081081081086E-2</v>
      </c>
      <c r="EL9" s="2">
        <f t="shared" si="82"/>
        <v>3.2432432432432434</v>
      </c>
      <c r="EM9" s="2">
        <f t="shared" si="83"/>
        <v>6.0810810810810745E-3</v>
      </c>
      <c r="EN9" s="2">
        <f t="shared" si="84"/>
        <v>0.24324324324324298</v>
      </c>
      <c r="ES9" s="2">
        <f t="shared" si="85"/>
        <v>40</v>
      </c>
      <c r="ET9" s="2">
        <v>3</v>
      </c>
      <c r="EU9" s="2">
        <f t="shared" si="86"/>
        <v>2.5000000000000001E-2</v>
      </c>
      <c r="EV9" s="2">
        <f t="shared" si="87"/>
        <v>0.33333333333333331</v>
      </c>
      <c r="EW9" s="2">
        <f t="shared" si="88"/>
        <v>7.5000000000000011E-2</v>
      </c>
      <c r="EX9" s="2">
        <f t="shared" si="89"/>
        <v>8.1081081081081086E-2</v>
      </c>
      <c r="EY9" s="2">
        <f t="shared" si="90"/>
        <v>3.2432432432432434</v>
      </c>
      <c r="EZ9" s="2">
        <f t="shared" si="91"/>
        <v>6.0810810810810745E-3</v>
      </c>
      <c r="FA9" s="2">
        <f t="shared" si="92"/>
        <v>0.24324324324324298</v>
      </c>
      <c r="FF9" s="2">
        <f t="shared" si="93"/>
        <v>20</v>
      </c>
      <c r="FG9" s="2">
        <v>5</v>
      </c>
      <c r="FH9" s="2">
        <f t="shared" si="94"/>
        <v>0.05</v>
      </c>
      <c r="FI9" s="2">
        <f t="shared" si="95"/>
        <v>0.2</v>
      </c>
      <c r="FJ9" s="2">
        <f t="shared" si="96"/>
        <v>0.25</v>
      </c>
      <c r="FK9" s="2">
        <f t="shared" si="97"/>
        <v>0.33333333333333331</v>
      </c>
      <c r="FL9" s="2">
        <f t="shared" si="98"/>
        <v>6.6666666666666661</v>
      </c>
      <c r="FM9" s="2">
        <f t="shared" si="99"/>
        <v>8.3333333333333315E-2</v>
      </c>
      <c r="FN9" s="2">
        <f t="shared" si="100"/>
        <v>1.6666666666666663</v>
      </c>
      <c r="FS9" s="2">
        <f t="shared" si="101"/>
        <v>20</v>
      </c>
      <c r="FT9" s="2">
        <v>8</v>
      </c>
      <c r="FU9" s="2">
        <f t="shared" si="102"/>
        <v>0.05</v>
      </c>
      <c r="FV9" s="2">
        <f t="shared" si="103"/>
        <v>0.125</v>
      </c>
      <c r="FW9" s="2">
        <f t="shared" si="104"/>
        <v>0.4</v>
      </c>
      <c r="FX9" s="2">
        <f t="shared" si="105"/>
        <v>0.66666666666666674</v>
      </c>
      <c r="FY9" s="2">
        <f t="shared" si="106"/>
        <v>13.333333333333334</v>
      </c>
      <c r="FZ9" s="2">
        <f t="shared" si="107"/>
        <v>0.26666666666666672</v>
      </c>
      <c r="GA9" s="2">
        <f t="shared" si="108"/>
        <v>5.3333333333333339</v>
      </c>
      <c r="GD9" s="2">
        <v>20</v>
      </c>
      <c r="GE9" s="2">
        <f>L9+Y9+(AL9*$AD$8)+AY9+CC9+CL9+CY9+DL9+DY9+(EL9*$ED$8)+(EY9*$EQ$8)+FL9+FY9+(DP9*$Q$11)</f>
        <v>164.57077695164168</v>
      </c>
      <c r="GF9" s="2">
        <v>164.99</v>
      </c>
      <c r="GI9" s="2">
        <v>20</v>
      </c>
      <c r="GJ9" s="2">
        <f t="shared" si="109"/>
        <v>112.1886875654215</v>
      </c>
      <c r="GK9" s="2">
        <v>0.05</v>
      </c>
      <c r="GL9" s="2">
        <f t="shared" si="110"/>
        <v>5.6094343782710752</v>
      </c>
      <c r="GM9" s="2">
        <f t="shared" si="111"/>
        <v>117.79812194369258</v>
      </c>
    </row>
    <row r="10" spans="2:195" x14ac:dyDescent="0.3">
      <c r="B10" s="1">
        <v>25</v>
      </c>
      <c r="C10" s="1">
        <f t="shared" si="112"/>
        <v>0.04</v>
      </c>
      <c r="F10" s="1">
        <f t="shared" si="0"/>
        <v>25</v>
      </c>
      <c r="G10" s="1">
        <v>10</v>
      </c>
      <c r="H10" s="1">
        <f t="shared" si="8"/>
        <v>0.04</v>
      </c>
      <c r="I10" s="1">
        <f t="shared" si="8"/>
        <v>0.1</v>
      </c>
      <c r="J10" s="1">
        <f t="shared" si="9"/>
        <v>0.39999999999999997</v>
      </c>
      <c r="K10" s="1">
        <f t="shared" si="10"/>
        <v>0.66666666666666652</v>
      </c>
      <c r="L10" s="1">
        <f t="shared" si="11"/>
        <v>16.666666666666664</v>
      </c>
      <c r="M10" s="1">
        <f t="shared" si="12"/>
        <v>0.26666666666666655</v>
      </c>
      <c r="N10" s="1">
        <f t="shared" si="13"/>
        <v>6.6666666666666634</v>
      </c>
      <c r="Q10" s="1" t="s">
        <v>14</v>
      </c>
      <c r="S10" s="1">
        <f>F10/Q8</f>
        <v>23.75</v>
      </c>
      <c r="T10" s="1">
        <v>5</v>
      </c>
      <c r="U10" s="1">
        <f t="shared" si="14"/>
        <v>4.2105263157894736E-2</v>
      </c>
      <c r="V10" s="1">
        <f t="shared" si="14"/>
        <v>0.2</v>
      </c>
      <c r="W10" s="1">
        <f t="shared" si="15"/>
        <v>0.21052631578947367</v>
      </c>
      <c r="X10" s="1">
        <f t="shared" si="1"/>
        <v>0.26666666666666666</v>
      </c>
      <c r="Y10" s="1">
        <f t="shared" si="2"/>
        <v>6.333333333333333</v>
      </c>
      <c r="Z10" s="1">
        <f t="shared" si="3"/>
        <v>5.614035087719299E-2</v>
      </c>
      <c r="AA10" s="1">
        <f t="shared" si="4"/>
        <v>1.3333333333333335</v>
      </c>
      <c r="AF10" s="1">
        <f>S10/AD8</f>
        <v>475</v>
      </c>
      <c r="AG10" s="1">
        <v>15</v>
      </c>
      <c r="AH10" s="1">
        <f t="shared" si="16"/>
        <v>2.1052631578947368E-3</v>
      </c>
      <c r="AI10" s="1">
        <f t="shared" si="16"/>
        <v>6.6666666666666666E-2</v>
      </c>
      <c r="AJ10" s="1">
        <f t="shared" si="17"/>
        <v>3.1578947368421054E-2</v>
      </c>
      <c r="AK10" s="1">
        <f t="shared" si="18"/>
        <v>3.2608695652173912E-2</v>
      </c>
      <c r="AL10" s="1">
        <f t="shared" si="19"/>
        <v>15.489130434782609</v>
      </c>
      <c r="AM10" s="1">
        <f t="shared" si="20"/>
        <v>1.0297482837528585E-3</v>
      </c>
      <c r="AN10" s="1">
        <f t="shared" si="21"/>
        <v>0.48913043478260781</v>
      </c>
      <c r="AS10" s="1">
        <f t="shared" si="22"/>
        <v>23.75</v>
      </c>
      <c r="AT10" s="1">
        <v>5</v>
      </c>
      <c r="AU10" s="1">
        <f t="shared" si="23"/>
        <v>4.2105263157894736E-2</v>
      </c>
      <c r="AV10" s="1">
        <f t="shared" si="24"/>
        <v>0.2</v>
      </c>
      <c r="AW10" s="1">
        <f t="shared" si="25"/>
        <v>0.21052631578947367</v>
      </c>
      <c r="AX10" s="1">
        <f t="shared" si="26"/>
        <v>0.26666666666666666</v>
      </c>
      <c r="AY10" s="1">
        <f t="shared" si="27"/>
        <v>6.333333333333333</v>
      </c>
      <c r="AZ10" s="1">
        <f t="shared" si="28"/>
        <v>5.614035087719299E-2</v>
      </c>
      <c r="BA10" s="1">
        <f t="shared" si="29"/>
        <v>1.3333333333333335</v>
      </c>
      <c r="BF10" s="1">
        <f t="shared" si="30"/>
        <v>23.75</v>
      </c>
      <c r="BG10" s="1">
        <v>16</v>
      </c>
      <c r="BH10" s="1">
        <f t="shared" si="31"/>
        <v>4.2105263157894736E-2</v>
      </c>
      <c r="BI10" s="1">
        <f t="shared" si="32"/>
        <v>6.25E-2</v>
      </c>
      <c r="BJ10" s="1">
        <f t="shared" si="33"/>
        <v>0.33684210526315789</v>
      </c>
      <c r="BK10" s="1">
        <f t="shared" si="34"/>
        <v>0.50793650793650791</v>
      </c>
      <c r="BL10" s="1">
        <f t="shared" si="35"/>
        <v>18.047744031996</v>
      </c>
      <c r="BM10" s="1">
        <f t="shared" si="36"/>
        <v>0.17109440267335002</v>
      </c>
      <c r="BN10" s="1">
        <f t="shared" si="37"/>
        <v>4.0634920634920633</v>
      </c>
      <c r="BS10" s="1">
        <f t="shared" si="38"/>
        <v>23.75</v>
      </c>
      <c r="BT10" s="1">
        <v>10</v>
      </c>
      <c r="BU10" s="1">
        <f t="shared" si="39"/>
        <v>4.2105263157894736E-2</v>
      </c>
      <c r="BV10" s="1">
        <f t="shared" si="40"/>
        <v>0.1</v>
      </c>
      <c r="BW10" s="1">
        <f t="shared" si="41"/>
        <v>0.42105263157894735</v>
      </c>
      <c r="BX10" s="1">
        <f t="shared" si="42"/>
        <v>0.72727272727272718</v>
      </c>
      <c r="BY10" s="1">
        <f t="shared" si="43"/>
        <v>17.27272727272727</v>
      </c>
      <c r="BZ10" s="1">
        <f t="shared" si="44"/>
        <v>0.30622009569377984</v>
      </c>
      <c r="CA10" s="1">
        <f t="shared" si="45"/>
        <v>7.2727272727272716</v>
      </c>
      <c r="CC10" s="1">
        <f t="shared" si="46"/>
        <v>26.494604915138282</v>
      </c>
      <c r="CF10" s="1">
        <f t="shared" ref="CF10:CF16" si="113">BF10</f>
        <v>23.75</v>
      </c>
      <c r="CG10" s="1">
        <v>16</v>
      </c>
      <c r="CH10" s="1">
        <f t="shared" si="47"/>
        <v>4.2105263157894736E-2</v>
      </c>
      <c r="CI10" s="1">
        <f t="shared" si="48"/>
        <v>6.25E-2</v>
      </c>
      <c r="CJ10" s="1">
        <f t="shared" si="49"/>
        <v>0.33684210526315789</v>
      </c>
      <c r="CK10" s="1">
        <f t="shared" si="50"/>
        <v>0.50793650793650791</v>
      </c>
      <c r="CL10" s="1">
        <f t="shared" si="51"/>
        <v>18.047744031996</v>
      </c>
      <c r="CM10" s="1">
        <f t="shared" si="52"/>
        <v>0.17109440267335002</v>
      </c>
      <c r="CN10" s="1">
        <f t="shared" si="53"/>
        <v>4.0634920634920633</v>
      </c>
      <c r="CS10" s="1">
        <f t="shared" si="54"/>
        <v>23.75</v>
      </c>
      <c r="CT10" s="1">
        <v>5</v>
      </c>
      <c r="CU10" s="1">
        <f t="shared" si="55"/>
        <v>4.2105263157894736E-2</v>
      </c>
      <c r="CV10" s="1">
        <f t="shared" si="56"/>
        <v>0.2</v>
      </c>
      <c r="CW10" s="1">
        <f t="shared" si="57"/>
        <v>0.21052631578947367</v>
      </c>
      <c r="CX10" s="1">
        <f t="shared" si="58"/>
        <v>0.26666666666666666</v>
      </c>
      <c r="CY10" s="1">
        <f t="shared" si="59"/>
        <v>6.333333333333333</v>
      </c>
      <c r="CZ10" s="1">
        <f t="shared" si="60"/>
        <v>5.614035087719299E-2</v>
      </c>
      <c r="DA10" s="1">
        <f t="shared" si="61"/>
        <v>1.3333333333333335</v>
      </c>
      <c r="DF10" s="1">
        <f t="shared" si="62"/>
        <v>23.75</v>
      </c>
      <c r="DG10" s="1">
        <v>13</v>
      </c>
      <c r="DH10" s="1">
        <f t="shared" si="63"/>
        <v>4.2105263157894736E-2</v>
      </c>
      <c r="DI10" s="1">
        <f t="shared" si="64"/>
        <v>7.6923076923076927E-2</v>
      </c>
      <c r="DJ10" s="1">
        <f t="shared" si="65"/>
        <v>0.5473684210526315</v>
      </c>
      <c r="DK10" s="1">
        <f t="shared" si="66"/>
        <v>1.2093023255813951</v>
      </c>
      <c r="DL10" s="1">
        <f t="shared" si="67"/>
        <v>28.720930232558132</v>
      </c>
      <c r="DM10" s="1">
        <f t="shared" si="68"/>
        <v>0.66193390452876355</v>
      </c>
      <c r="DN10" s="1">
        <f t="shared" si="69"/>
        <v>15.720930232558135</v>
      </c>
      <c r="DP10" s="1">
        <f t="shared" si="5"/>
        <v>93.037735701431544</v>
      </c>
      <c r="DS10" s="1">
        <f>DF10/DQ8</f>
        <v>25</v>
      </c>
      <c r="DT10" s="1">
        <v>3</v>
      </c>
      <c r="DU10" s="1">
        <f t="shared" si="70"/>
        <v>0.04</v>
      </c>
      <c r="DV10" s="1">
        <f t="shared" si="71"/>
        <v>0.33333333333333331</v>
      </c>
      <c r="DW10" s="1">
        <f t="shared" si="72"/>
        <v>0.12000000000000001</v>
      </c>
      <c r="DX10" s="1">
        <f t="shared" si="73"/>
        <v>0.13636363636363638</v>
      </c>
      <c r="DY10" s="1">
        <f t="shared" si="74"/>
        <v>3.4090909090909096</v>
      </c>
      <c r="DZ10" s="1">
        <f t="shared" si="75"/>
        <v>1.6363636363636372E-2</v>
      </c>
      <c r="EA10" s="1">
        <f t="shared" si="76"/>
        <v>0.40909090909090928</v>
      </c>
      <c r="EF10" s="1">
        <f t="shared" si="77"/>
        <v>50</v>
      </c>
      <c r="EG10" s="1">
        <v>3</v>
      </c>
      <c r="EH10" s="1">
        <f t="shared" si="78"/>
        <v>0.02</v>
      </c>
      <c r="EI10" s="1">
        <f t="shared" si="79"/>
        <v>0.33333333333333331</v>
      </c>
      <c r="EJ10" s="1">
        <f t="shared" si="80"/>
        <v>6.0000000000000005E-2</v>
      </c>
      <c r="EK10" s="1">
        <f t="shared" si="81"/>
        <v>6.3829787234042562E-2</v>
      </c>
      <c r="EL10" s="1">
        <f t="shared" si="82"/>
        <v>3.191489361702128</v>
      </c>
      <c r="EM10" s="1">
        <f t="shared" si="83"/>
        <v>3.8297872340425573E-3</v>
      </c>
      <c r="EN10" s="1">
        <f t="shared" si="84"/>
        <v>0.19148936170212785</v>
      </c>
      <c r="ES10" s="1">
        <f t="shared" si="85"/>
        <v>50</v>
      </c>
      <c r="ET10" s="1">
        <v>3</v>
      </c>
      <c r="EU10" s="1">
        <f t="shared" si="86"/>
        <v>0.02</v>
      </c>
      <c r="EV10" s="1">
        <f t="shared" si="87"/>
        <v>0.33333333333333331</v>
      </c>
      <c r="EW10" s="1">
        <f t="shared" si="88"/>
        <v>6.0000000000000005E-2</v>
      </c>
      <c r="EX10" s="1">
        <f t="shared" si="89"/>
        <v>6.3829787234042562E-2</v>
      </c>
      <c r="EY10" s="1">
        <f t="shared" si="90"/>
        <v>3.191489361702128</v>
      </c>
      <c r="EZ10" s="1">
        <f t="shared" si="91"/>
        <v>3.8297872340425573E-3</v>
      </c>
      <c r="FA10" s="1">
        <f t="shared" si="92"/>
        <v>0.19148936170212785</v>
      </c>
      <c r="FF10" s="1">
        <f t="shared" si="93"/>
        <v>25</v>
      </c>
      <c r="FG10" s="1">
        <v>5</v>
      </c>
      <c r="FH10" s="1">
        <f t="shared" si="94"/>
        <v>0.04</v>
      </c>
      <c r="FI10" s="1">
        <f t="shared" si="95"/>
        <v>0.2</v>
      </c>
      <c r="FJ10" s="1">
        <f t="shared" si="96"/>
        <v>0.19999999999999998</v>
      </c>
      <c r="FK10" s="1">
        <f t="shared" si="97"/>
        <v>0.24999999999999997</v>
      </c>
      <c r="FL10" s="1">
        <f t="shared" si="98"/>
        <v>6.2499999999999991</v>
      </c>
      <c r="FM10" s="1">
        <f t="shared" si="99"/>
        <v>4.9999999999999989E-2</v>
      </c>
      <c r="FN10" s="1">
        <f t="shared" si="100"/>
        <v>1.2499999999999998</v>
      </c>
      <c r="FS10" s="1">
        <f t="shared" si="101"/>
        <v>25</v>
      </c>
      <c r="FT10" s="1">
        <v>8</v>
      </c>
      <c r="FU10" s="1">
        <f t="shared" si="102"/>
        <v>0.04</v>
      </c>
      <c r="FV10" s="1">
        <f t="shared" si="103"/>
        <v>0.125</v>
      </c>
      <c r="FW10" s="1">
        <f t="shared" si="104"/>
        <v>0.32</v>
      </c>
      <c r="FX10" s="1">
        <f t="shared" si="105"/>
        <v>0.4705882352941177</v>
      </c>
      <c r="FY10" s="1">
        <f t="shared" si="106"/>
        <v>11.764705882352942</v>
      </c>
      <c r="FZ10" s="1">
        <f t="shared" si="107"/>
        <v>0.15058823529411769</v>
      </c>
      <c r="GA10" s="1">
        <f t="shared" si="108"/>
        <v>3.764705882352942</v>
      </c>
      <c r="GD10" s="1">
        <v>25</v>
      </c>
      <c r="GE10" s="1">
        <f t="shared" ref="GE10:GE16" si="114">L10+Y10+(AL10*$AD$8)+AY10+CC10+CL10+CY10+DL10+DY10+(EL10*$ED$8)+(EY10*$EQ$8)+FL10+FY10+(DP10*$Q$11)</f>
        <v>138.97157530631577</v>
      </c>
      <c r="GF10" s="1">
        <v>137.22999999999999</v>
      </c>
      <c r="GI10" s="1">
        <v>25</v>
      </c>
      <c r="GJ10" s="1">
        <f t="shared" si="109"/>
        <v>93.037735701431544</v>
      </c>
      <c r="GK10" s="1">
        <v>0.05</v>
      </c>
      <c r="GL10" s="1">
        <f t="shared" si="110"/>
        <v>4.6518867850715777</v>
      </c>
      <c r="GM10" s="1">
        <f t="shared" si="111"/>
        <v>97.689622486503126</v>
      </c>
    </row>
    <row r="11" spans="2:195" x14ac:dyDescent="0.3">
      <c r="B11" s="1">
        <v>30</v>
      </c>
      <c r="C11" s="1">
        <f t="shared" si="112"/>
        <v>3.3333333333333333E-2</v>
      </c>
      <c r="F11" s="1">
        <f t="shared" si="0"/>
        <v>30</v>
      </c>
      <c r="G11" s="1">
        <v>10</v>
      </c>
      <c r="H11" s="1">
        <f t="shared" si="8"/>
        <v>3.3333333333333333E-2</v>
      </c>
      <c r="I11" s="1">
        <f t="shared" si="8"/>
        <v>0.1</v>
      </c>
      <c r="J11" s="1">
        <f t="shared" si="9"/>
        <v>0.33333333333333331</v>
      </c>
      <c r="K11" s="1">
        <f t="shared" si="10"/>
        <v>0.49999999999999994</v>
      </c>
      <c r="L11" s="1">
        <f t="shared" si="11"/>
        <v>14.999999999999998</v>
      </c>
      <c r="M11" s="1">
        <f t="shared" si="12"/>
        <v>0.16666666666666663</v>
      </c>
      <c r="N11" s="1">
        <f t="shared" si="13"/>
        <v>4.9999999999999991</v>
      </c>
      <c r="Q11" s="1">
        <v>0.05</v>
      </c>
      <c r="S11" s="1">
        <f>F11/Q8</f>
        <v>28.5</v>
      </c>
      <c r="T11" s="1">
        <v>5</v>
      </c>
      <c r="U11" s="1">
        <f t="shared" si="14"/>
        <v>3.5087719298245612E-2</v>
      </c>
      <c r="V11" s="1">
        <f t="shared" si="14"/>
        <v>0.2</v>
      </c>
      <c r="W11" s="1">
        <f t="shared" si="15"/>
        <v>0.17543859649122806</v>
      </c>
      <c r="X11" s="1">
        <f t="shared" si="1"/>
        <v>0.21276595744680848</v>
      </c>
      <c r="Y11" s="1">
        <f t="shared" si="2"/>
        <v>6.0638297872340425</v>
      </c>
      <c r="Z11" s="1">
        <f t="shared" si="3"/>
        <v>3.7327360955580424E-2</v>
      </c>
      <c r="AA11" s="1">
        <f t="shared" si="4"/>
        <v>1.0638297872340421</v>
      </c>
      <c r="AF11" s="1">
        <f>S11/AD8</f>
        <v>570</v>
      </c>
      <c r="AG11" s="1">
        <v>15</v>
      </c>
      <c r="AH11" s="1">
        <f t="shared" si="16"/>
        <v>1.7543859649122807E-3</v>
      </c>
      <c r="AI11" s="1">
        <f t="shared" si="16"/>
        <v>6.6666666666666666E-2</v>
      </c>
      <c r="AJ11" s="1">
        <f t="shared" si="17"/>
        <v>2.6315789473684213E-2</v>
      </c>
      <c r="AK11" s="1">
        <f t="shared" si="18"/>
        <v>2.7027027027027029E-2</v>
      </c>
      <c r="AL11" s="1">
        <f t="shared" si="19"/>
        <v>15.405405405405405</v>
      </c>
      <c r="AM11" s="1">
        <f t="shared" si="20"/>
        <v>7.1123755334281599E-4</v>
      </c>
      <c r="AN11" s="1">
        <f t="shared" si="21"/>
        <v>0.40540540540540509</v>
      </c>
      <c r="AS11" s="1">
        <f t="shared" si="22"/>
        <v>28.5</v>
      </c>
      <c r="AT11" s="1">
        <v>5</v>
      </c>
      <c r="AU11" s="1">
        <f t="shared" si="23"/>
        <v>3.5087719298245612E-2</v>
      </c>
      <c r="AV11" s="1">
        <f t="shared" si="24"/>
        <v>0.2</v>
      </c>
      <c r="AW11" s="1">
        <f t="shared" si="25"/>
        <v>0.17543859649122806</v>
      </c>
      <c r="AX11" s="1">
        <f t="shared" si="26"/>
        <v>0.21276595744680848</v>
      </c>
      <c r="AY11" s="1">
        <f t="shared" si="27"/>
        <v>6.0638297872340425</v>
      </c>
      <c r="AZ11" s="1">
        <f t="shared" si="28"/>
        <v>3.7327360955580424E-2</v>
      </c>
      <c r="BA11" s="1">
        <f t="shared" si="29"/>
        <v>1.0638297872340421</v>
      </c>
      <c r="BF11" s="1">
        <f t="shared" si="30"/>
        <v>28.5</v>
      </c>
      <c r="BG11" s="1">
        <v>16</v>
      </c>
      <c r="BH11" s="1">
        <f t="shared" si="31"/>
        <v>3.5087719298245612E-2</v>
      </c>
      <c r="BI11" s="1">
        <f t="shared" si="32"/>
        <v>6.25E-2</v>
      </c>
      <c r="BJ11" s="1">
        <f t="shared" si="33"/>
        <v>0.2807017543859649</v>
      </c>
      <c r="BK11" s="1">
        <f t="shared" si="34"/>
        <v>0.39024390243902435</v>
      </c>
      <c r="BL11" s="1">
        <f t="shared" si="35"/>
        <v>17.368526561977948</v>
      </c>
      <c r="BM11" s="1">
        <f t="shared" si="36"/>
        <v>0.10954214805305945</v>
      </c>
      <c r="BN11" s="1">
        <f t="shared" si="37"/>
        <v>3.1219512195121943</v>
      </c>
      <c r="BS11" s="1">
        <f t="shared" si="38"/>
        <v>28.5</v>
      </c>
      <c r="BT11" s="1">
        <v>10</v>
      </c>
      <c r="BU11" s="1">
        <f t="shared" si="39"/>
        <v>3.5087719298245612E-2</v>
      </c>
      <c r="BV11" s="1">
        <f t="shared" si="40"/>
        <v>0.1</v>
      </c>
      <c r="BW11" s="1">
        <f t="shared" si="41"/>
        <v>0.35087719298245612</v>
      </c>
      <c r="BX11" s="1">
        <f t="shared" si="42"/>
        <v>0.54054054054054046</v>
      </c>
      <c r="BY11" s="1">
        <f t="shared" si="43"/>
        <v>15.405405405405403</v>
      </c>
      <c r="BZ11" s="1">
        <f t="shared" si="44"/>
        <v>0.18966334755808434</v>
      </c>
      <c r="CA11" s="1">
        <f t="shared" si="45"/>
        <v>5.4054054054054044</v>
      </c>
      <c r="CC11" s="1">
        <f t="shared" si="46"/>
        <v>24.609846155277936</v>
      </c>
      <c r="CF11" s="1">
        <f t="shared" si="113"/>
        <v>28.5</v>
      </c>
      <c r="CG11" s="1">
        <v>16</v>
      </c>
      <c r="CH11" s="1">
        <f t="shared" si="47"/>
        <v>3.5087719298245612E-2</v>
      </c>
      <c r="CI11" s="1">
        <f t="shared" si="48"/>
        <v>6.25E-2</v>
      </c>
      <c r="CJ11" s="1">
        <f t="shared" si="49"/>
        <v>0.2807017543859649</v>
      </c>
      <c r="CK11" s="1">
        <f t="shared" si="50"/>
        <v>0.39024390243902435</v>
      </c>
      <c r="CL11" s="1">
        <f t="shared" si="51"/>
        <v>17.368526561977948</v>
      </c>
      <c r="CM11" s="1">
        <f t="shared" si="52"/>
        <v>0.10954214805305945</v>
      </c>
      <c r="CN11" s="1">
        <f t="shared" si="53"/>
        <v>3.1219512195121943</v>
      </c>
      <c r="CS11" s="1">
        <f t="shared" si="54"/>
        <v>28.5</v>
      </c>
      <c r="CT11" s="1">
        <v>5</v>
      </c>
      <c r="CU11" s="1">
        <f t="shared" si="55"/>
        <v>3.5087719298245612E-2</v>
      </c>
      <c r="CV11" s="1">
        <f t="shared" si="56"/>
        <v>0.2</v>
      </c>
      <c r="CW11" s="1">
        <f t="shared" si="57"/>
        <v>0.17543859649122806</v>
      </c>
      <c r="CX11" s="1">
        <f t="shared" si="58"/>
        <v>0.21276595744680848</v>
      </c>
      <c r="CY11" s="1">
        <f t="shared" si="59"/>
        <v>6.0638297872340425</v>
      </c>
      <c r="CZ11" s="1">
        <f t="shared" si="60"/>
        <v>3.7327360955580424E-2</v>
      </c>
      <c r="DA11" s="1">
        <f t="shared" si="61"/>
        <v>1.0638297872340421</v>
      </c>
      <c r="DF11" s="1">
        <f t="shared" si="62"/>
        <v>28.5</v>
      </c>
      <c r="DG11" s="1">
        <v>13</v>
      </c>
      <c r="DH11" s="1">
        <f t="shared" si="63"/>
        <v>3.5087719298245612E-2</v>
      </c>
      <c r="DI11" s="1">
        <f t="shared" si="64"/>
        <v>7.6923076923076927E-2</v>
      </c>
      <c r="DJ11" s="1">
        <f t="shared" si="65"/>
        <v>0.45614035087719296</v>
      </c>
      <c r="DK11" s="1">
        <f t="shared" si="66"/>
        <v>0.83870967741935476</v>
      </c>
      <c r="DL11" s="1">
        <f t="shared" si="67"/>
        <v>23.903225806451612</v>
      </c>
      <c r="DM11" s="1">
        <f t="shared" si="68"/>
        <v>0.3825693265421618</v>
      </c>
      <c r="DN11" s="1">
        <f t="shared" si="69"/>
        <v>10.903225806451612</v>
      </c>
      <c r="DP11" s="1">
        <f t="shared" si="5"/>
        <v>84.843358155679894</v>
      </c>
      <c r="DS11" s="1">
        <f>DF11/DQ8</f>
        <v>30</v>
      </c>
      <c r="DT11" s="1">
        <v>3</v>
      </c>
      <c r="DU11" s="1">
        <f t="shared" si="70"/>
        <v>3.3333333333333333E-2</v>
      </c>
      <c r="DV11" s="1">
        <f t="shared" si="71"/>
        <v>0.33333333333333331</v>
      </c>
      <c r="DW11" s="1">
        <f t="shared" si="72"/>
        <v>0.1</v>
      </c>
      <c r="DX11" s="1">
        <f t="shared" si="73"/>
        <v>0.11111111111111112</v>
      </c>
      <c r="DY11" s="1">
        <f t="shared" si="74"/>
        <v>3.3333333333333335</v>
      </c>
      <c r="DZ11" s="1">
        <f t="shared" si="75"/>
        <v>1.1111111111111113E-2</v>
      </c>
      <c r="EA11" s="1">
        <f t="shared" si="76"/>
        <v>0.33333333333333343</v>
      </c>
      <c r="EF11" s="1">
        <f t="shared" si="77"/>
        <v>60</v>
      </c>
      <c r="EG11" s="1">
        <v>3</v>
      </c>
      <c r="EH11" s="1">
        <f t="shared" si="78"/>
        <v>1.6666666666666666E-2</v>
      </c>
      <c r="EI11" s="1">
        <f t="shared" si="79"/>
        <v>0.33333333333333331</v>
      </c>
      <c r="EJ11" s="1">
        <f t="shared" si="80"/>
        <v>0.05</v>
      </c>
      <c r="EK11" s="1">
        <f t="shared" si="81"/>
        <v>5.2631578947368425E-2</v>
      </c>
      <c r="EL11" s="1">
        <f t="shared" si="82"/>
        <v>3.1578947368421058</v>
      </c>
      <c r="EM11" s="1">
        <f t="shared" si="83"/>
        <v>2.6315789473684223E-3</v>
      </c>
      <c r="EN11" s="1">
        <f t="shared" si="84"/>
        <v>0.15789473684210534</v>
      </c>
      <c r="ES11" s="1">
        <f t="shared" si="85"/>
        <v>60</v>
      </c>
      <c r="ET11" s="1">
        <v>3</v>
      </c>
      <c r="EU11" s="1">
        <f t="shared" si="86"/>
        <v>1.6666666666666666E-2</v>
      </c>
      <c r="EV11" s="1">
        <f t="shared" si="87"/>
        <v>0.33333333333333331</v>
      </c>
      <c r="EW11" s="1">
        <f t="shared" si="88"/>
        <v>0.05</v>
      </c>
      <c r="EX11" s="1">
        <f t="shared" si="89"/>
        <v>5.2631578947368425E-2</v>
      </c>
      <c r="EY11" s="1">
        <f t="shared" si="90"/>
        <v>3.1578947368421058</v>
      </c>
      <c r="EZ11" s="1">
        <f t="shared" si="91"/>
        <v>2.6315789473684223E-3</v>
      </c>
      <c r="FA11" s="1">
        <f t="shared" si="92"/>
        <v>0.15789473684210534</v>
      </c>
      <c r="FF11" s="1">
        <f t="shared" si="93"/>
        <v>30</v>
      </c>
      <c r="FG11" s="1">
        <v>5</v>
      </c>
      <c r="FH11" s="1">
        <f t="shared" si="94"/>
        <v>3.3333333333333333E-2</v>
      </c>
      <c r="FI11" s="1">
        <f t="shared" si="95"/>
        <v>0.2</v>
      </c>
      <c r="FJ11" s="1">
        <f t="shared" si="96"/>
        <v>0.16666666666666666</v>
      </c>
      <c r="FK11" s="1">
        <f t="shared" si="97"/>
        <v>0.19999999999999998</v>
      </c>
      <c r="FL11" s="1">
        <f t="shared" si="98"/>
        <v>6</v>
      </c>
      <c r="FM11" s="1">
        <f t="shared" si="99"/>
        <v>3.3333333333333326E-2</v>
      </c>
      <c r="FN11" s="1">
        <f t="shared" si="100"/>
        <v>0.99999999999999978</v>
      </c>
      <c r="FS11" s="1">
        <f t="shared" si="101"/>
        <v>30</v>
      </c>
      <c r="FT11" s="1">
        <v>8</v>
      </c>
      <c r="FU11" s="1">
        <f t="shared" si="102"/>
        <v>3.3333333333333333E-2</v>
      </c>
      <c r="FV11" s="1">
        <f t="shared" si="103"/>
        <v>0.125</v>
      </c>
      <c r="FW11" s="1">
        <f t="shared" si="104"/>
        <v>0.26666666666666666</v>
      </c>
      <c r="FX11" s="1">
        <f t="shared" si="105"/>
        <v>0.36363636363636359</v>
      </c>
      <c r="FY11" s="1">
        <f t="shared" si="106"/>
        <v>10.909090909090908</v>
      </c>
      <c r="FZ11" s="1">
        <f t="shared" si="107"/>
        <v>9.6969696969696928E-2</v>
      </c>
      <c r="GA11" s="1">
        <f t="shared" si="108"/>
        <v>2.9090909090909078</v>
      </c>
      <c r="GD11" s="1">
        <v>30</v>
      </c>
      <c r="GE11" s="1">
        <f t="shared" si="114"/>
        <v>127.48584504273023</v>
      </c>
      <c r="GF11" s="1">
        <v>126.46</v>
      </c>
      <c r="GI11" s="1">
        <v>30</v>
      </c>
      <c r="GJ11" s="1">
        <f t="shared" si="109"/>
        <v>84.843358155679894</v>
      </c>
      <c r="GK11" s="1">
        <v>0.05</v>
      </c>
      <c r="GL11" s="1">
        <f t="shared" si="110"/>
        <v>4.2421679077839949</v>
      </c>
      <c r="GM11" s="1">
        <f t="shared" si="111"/>
        <v>89.085526063463888</v>
      </c>
    </row>
    <row r="12" spans="2:195" x14ac:dyDescent="0.3">
      <c r="B12" s="1">
        <v>45</v>
      </c>
      <c r="C12" s="1">
        <f t="shared" si="112"/>
        <v>2.2222222222222223E-2</v>
      </c>
      <c r="F12" s="1">
        <f t="shared" si="0"/>
        <v>45</v>
      </c>
      <c r="G12" s="1">
        <v>10</v>
      </c>
      <c r="H12" s="1">
        <f t="shared" si="8"/>
        <v>2.2222222222222223E-2</v>
      </c>
      <c r="I12" s="1">
        <f t="shared" si="8"/>
        <v>0.1</v>
      </c>
      <c r="J12" s="1">
        <f t="shared" si="9"/>
        <v>0.22222222222222221</v>
      </c>
      <c r="K12" s="1">
        <f t="shared" si="10"/>
        <v>0.2857142857142857</v>
      </c>
      <c r="L12" s="1">
        <f t="shared" si="11"/>
        <v>12.857142857142856</v>
      </c>
      <c r="M12" s="1">
        <f t="shared" si="12"/>
        <v>6.3492063492063489E-2</v>
      </c>
      <c r="N12" s="1">
        <f t="shared" si="13"/>
        <v>2.8571428571428568</v>
      </c>
      <c r="S12" s="1">
        <f>F12/Q8</f>
        <v>42.75</v>
      </c>
      <c r="T12" s="1">
        <v>5</v>
      </c>
      <c r="U12" s="1">
        <f t="shared" si="14"/>
        <v>2.3391812865497075E-2</v>
      </c>
      <c r="V12" s="1">
        <f t="shared" si="14"/>
        <v>0.2</v>
      </c>
      <c r="W12" s="1">
        <f t="shared" si="15"/>
        <v>0.11695906432748537</v>
      </c>
      <c r="X12" s="1">
        <f t="shared" si="1"/>
        <v>0.1324503311258278</v>
      </c>
      <c r="Y12" s="1">
        <f t="shared" si="2"/>
        <v>5.6622516556291389</v>
      </c>
      <c r="Z12" s="1">
        <f t="shared" si="3"/>
        <v>1.5491266798342423E-2</v>
      </c>
      <c r="AA12" s="1">
        <f t="shared" si="4"/>
        <v>0.66225165562913868</v>
      </c>
      <c r="AF12" s="1">
        <f>S12/AD8</f>
        <v>855</v>
      </c>
      <c r="AG12" s="1">
        <v>15</v>
      </c>
      <c r="AH12" s="1">
        <f t="shared" si="16"/>
        <v>1.1695906432748538E-3</v>
      </c>
      <c r="AI12" s="1">
        <f t="shared" si="16"/>
        <v>6.6666666666666666E-2</v>
      </c>
      <c r="AJ12" s="1">
        <f t="shared" si="17"/>
        <v>1.7543859649122806E-2</v>
      </c>
      <c r="AK12" s="1">
        <f t="shared" si="18"/>
        <v>1.7857142857142856E-2</v>
      </c>
      <c r="AL12" s="1">
        <f t="shared" si="19"/>
        <v>15.267857142857142</v>
      </c>
      <c r="AM12" s="1">
        <f t="shared" si="20"/>
        <v>3.1328320802005011E-4</v>
      </c>
      <c r="AN12" s="1">
        <f t="shared" si="21"/>
        <v>0.26785714285714285</v>
      </c>
      <c r="AS12" s="1">
        <f t="shared" si="22"/>
        <v>42.75</v>
      </c>
      <c r="AT12" s="1">
        <v>5</v>
      </c>
      <c r="AU12" s="1">
        <f t="shared" si="23"/>
        <v>2.3391812865497075E-2</v>
      </c>
      <c r="AV12" s="1">
        <f t="shared" si="24"/>
        <v>0.2</v>
      </c>
      <c r="AW12" s="1">
        <f t="shared" si="25"/>
        <v>0.11695906432748537</v>
      </c>
      <c r="AX12" s="1">
        <f t="shared" si="26"/>
        <v>0.1324503311258278</v>
      </c>
      <c r="AY12" s="1">
        <f t="shared" si="27"/>
        <v>5.6622516556291389</v>
      </c>
      <c r="AZ12" s="1">
        <f t="shared" si="28"/>
        <v>1.5491266798342423E-2</v>
      </c>
      <c r="BA12" s="1">
        <f t="shared" si="29"/>
        <v>0.66225165562913868</v>
      </c>
      <c r="BF12" s="1">
        <f t="shared" si="30"/>
        <v>42.75</v>
      </c>
      <c r="BG12" s="1">
        <v>16</v>
      </c>
      <c r="BH12" s="1">
        <f t="shared" si="31"/>
        <v>2.3391812865497075E-2</v>
      </c>
      <c r="BI12" s="1">
        <f t="shared" si="32"/>
        <v>6.25E-2</v>
      </c>
      <c r="BJ12" s="1">
        <f t="shared" si="33"/>
        <v>0.1871345029239766</v>
      </c>
      <c r="BK12" s="1">
        <f t="shared" si="34"/>
        <v>0.23021582733812948</v>
      </c>
      <c r="BL12" s="1">
        <f t="shared" si="35"/>
        <v>16.580642874862672</v>
      </c>
      <c r="BM12" s="1">
        <f t="shared" si="36"/>
        <v>4.3081324414152883E-2</v>
      </c>
      <c r="BN12" s="1">
        <f t="shared" si="37"/>
        <v>1.8417266187050358</v>
      </c>
      <c r="BS12" s="1">
        <f t="shared" si="38"/>
        <v>42.75</v>
      </c>
      <c r="BT12" s="1">
        <v>10</v>
      </c>
      <c r="BU12" s="1">
        <f t="shared" si="39"/>
        <v>2.3391812865497075E-2</v>
      </c>
      <c r="BV12" s="1">
        <f t="shared" si="40"/>
        <v>0.1</v>
      </c>
      <c r="BW12" s="1">
        <f t="shared" si="41"/>
        <v>0.23391812865497075</v>
      </c>
      <c r="BX12" s="1">
        <f t="shared" si="42"/>
        <v>0.30534351145038163</v>
      </c>
      <c r="BY12" s="1">
        <f t="shared" si="43"/>
        <v>13.053435114503815</v>
      </c>
      <c r="BZ12" s="1">
        <f t="shared" si="44"/>
        <v>7.1425382795410886E-2</v>
      </c>
      <c r="CA12" s="1">
        <f t="shared" si="45"/>
        <v>3.0534351145038157</v>
      </c>
      <c r="CC12" s="1">
        <f t="shared" si="46"/>
        <v>22.330515313941174</v>
      </c>
      <c r="CF12" s="1">
        <f t="shared" si="113"/>
        <v>42.75</v>
      </c>
      <c r="CG12" s="1">
        <v>16</v>
      </c>
      <c r="CH12" s="1">
        <f t="shared" si="47"/>
        <v>2.3391812865497075E-2</v>
      </c>
      <c r="CI12" s="1">
        <f t="shared" si="48"/>
        <v>6.25E-2</v>
      </c>
      <c r="CJ12" s="1">
        <f t="shared" si="49"/>
        <v>0.1871345029239766</v>
      </c>
      <c r="CK12" s="1">
        <f t="shared" si="50"/>
        <v>0.23021582733812948</v>
      </c>
      <c r="CL12" s="1">
        <f t="shared" si="51"/>
        <v>16.580642874862672</v>
      </c>
      <c r="CM12" s="1">
        <f t="shared" si="52"/>
        <v>4.3081324414152883E-2</v>
      </c>
      <c r="CN12" s="1">
        <f t="shared" si="53"/>
        <v>1.8417266187050358</v>
      </c>
      <c r="CS12" s="1">
        <f t="shared" si="54"/>
        <v>42.75</v>
      </c>
      <c r="CT12" s="1">
        <v>5</v>
      </c>
      <c r="CU12" s="1">
        <f t="shared" si="55"/>
        <v>2.3391812865497075E-2</v>
      </c>
      <c r="CV12" s="1">
        <f t="shared" si="56"/>
        <v>0.2</v>
      </c>
      <c r="CW12" s="1">
        <f t="shared" si="57"/>
        <v>0.11695906432748537</v>
      </c>
      <c r="CX12" s="1">
        <f t="shared" si="58"/>
        <v>0.1324503311258278</v>
      </c>
      <c r="CY12" s="1">
        <f t="shared" si="59"/>
        <v>5.6622516556291389</v>
      </c>
      <c r="CZ12" s="1">
        <f t="shared" si="60"/>
        <v>1.5491266798342423E-2</v>
      </c>
      <c r="DA12" s="1">
        <f t="shared" si="61"/>
        <v>0.66225165562913868</v>
      </c>
      <c r="DF12" s="1">
        <f t="shared" si="62"/>
        <v>42.75</v>
      </c>
      <c r="DG12" s="1">
        <v>13</v>
      </c>
      <c r="DH12" s="1">
        <f t="shared" si="63"/>
        <v>2.3391812865497075E-2</v>
      </c>
      <c r="DI12" s="1">
        <f t="shared" si="64"/>
        <v>7.6923076923076927E-2</v>
      </c>
      <c r="DJ12" s="1">
        <f t="shared" si="65"/>
        <v>0.30409356725146197</v>
      </c>
      <c r="DK12" s="1">
        <f t="shared" si="66"/>
        <v>0.43697478991596633</v>
      </c>
      <c r="DL12" s="1">
        <f t="shared" si="67"/>
        <v>18.680672268907561</v>
      </c>
      <c r="DM12" s="1">
        <f t="shared" si="68"/>
        <v>0.13288122266450436</v>
      </c>
      <c r="DN12" s="1">
        <f t="shared" si="69"/>
        <v>5.6806722689075615</v>
      </c>
      <c r="DP12" s="1">
        <f t="shared" si="5"/>
        <v>75.341978281741689</v>
      </c>
      <c r="DS12" s="1">
        <f>DF12/DQ8</f>
        <v>45</v>
      </c>
      <c r="DT12" s="1">
        <v>3</v>
      </c>
      <c r="DU12" s="1">
        <f t="shared" si="70"/>
        <v>2.2222222222222223E-2</v>
      </c>
      <c r="DV12" s="1">
        <f t="shared" si="71"/>
        <v>0.33333333333333331</v>
      </c>
      <c r="DW12" s="1">
        <f t="shared" si="72"/>
        <v>6.666666666666668E-2</v>
      </c>
      <c r="DX12" s="1">
        <f t="shared" si="73"/>
        <v>7.1428571428571438E-2</v>
      </c>
      <c r="DY12" s="1">
        <f t="shared" si="74"/>
        <v>3.2142857142857144</v>
      </c>
      <c r="DZ12" s="1">
        <f t="shared" si="75"/>
        <v>4.7619047619047589E-3</v>
      </c>
      <c r="EA12" s="1">
        <f t="shared" si="76"/>
        <v>0.21428571428571414</v>
      </c>
      <c r="EF12" s="1">
        <f t="shared" si="77"/>
        <v>90</v>
      </c>
      <c r="EG12" s="1">
        <v>3</v>
      </c>
      <c r="EH12" s="1">
        <f t="shared" si="78"/>
        <v>1.1111111111111112E-2</v>
      </c>
      <c r="EI12" s="1">
        <f t="shared" si="79"/>
        <v>0.33333333333333331</v>
      </c>
      <c r="EJ12" s="1">
        <f t="shared" si="80"/>
        <v>3.333333333333334E-2</v>
      </c>
      <c r="EK12" s="1">
        <f t="shared" si="81"/>
        <v>3.4482758620689662E-2</v>
      </c>
      <c r="EL12" s="1">
        <f t="shared" si="82"/>
        <v>3.1034482758620694</v>
      </c>
      <c r="EM12" s="1">
        <f t="shared" si="83"/>
        <v>1.1494252873563218E-3</v>
      </c>
      <c r="EN12" s="1">
        <f t="shared" si="84"/>
        <v>0.10344827586206896</v>
      </c>
      <c r="ES12" s="1">
        <f t="shared" si="85"/>
        <v>90</v>
      </c>
      <c r="ET12" s="1">
        <v>3</v>
      </c>
      <c r="EU12" s="1">
        <f t="shared" si="86"/>
        <v>1.1111111111111112E-2</v>
      </c>
      <c r="EV12" s="1">
        <f t="shared" si="87"/>
        <v>0.33333333333333331</v>
      </c>
      <c r="EW12" s="1">
        <f t="shared" si="88"/>
        <v>3.333333333333334E-2</v>
      </c>
      <c r="EX12" s="1">
        <f t="shared" si="89"/>
        <v>3.4482758620689662E-2</v>
      </c>
      <c r="EY12" s="1">
        <f t="shared" si="90"/>
        <v>3.1034482758620694</v>
      </c>
      <c r="EZ12" s="1">
        <f t="shared" si="91"/>
        <v>1.1494252873563218E-3</v>
      </c>
      <c r="FA12" s="1">
        <f t="shared" si="92"/>
        <v>0.10344827586206896</v>
      </c>
      <c r="FF12" s="1">
        <f t="shared" si="93"/>
        <v>45</v>
      </c>
      <c r="FG12" s="1">
        <v>5</v>
      </c>
      <c r="FH12" s="1">
        <f t="shared" si="94"/>
        <v>2.2222222222222223E-2</v>
      </c>
      <c r="FI12" s="1">
        <f t="shared" si="95"/>
        <v>0.2</v>
      </c>
      <c r="FJ12" s="1">
        <f t="shared" si="96"/>
        <v>0.1111111111111111</v>
      </c>
      <c r="FK12" s="1">
        <f t="shared" si="97"/>
        <v>0.125</v>
      </c>
      <c r="FL12" s="1">
        <f t="shared" si="98"/>
        <v>5.625</v>
      </c>
      <c r="FM12" s="1">
        <f t="shared" si="99"/>
        <v>1.3888888888888895E-2</v>
      </c>
      <c r="FN12" s="1">
        <f t="shared" si="100"/>
        <v>0.62500000000000022</v>
      </c>
      <c r="FS12" s="1">
        <f t="shared" si="101"/>
        <v>45</v>
      </c>
      <c r="FT12" s="1">
        <v>8</v>
      </c>
      <c r="FU12" s="1">
        <f t="shared" si="102"/>
        <v>2.2222222222222223E-2</v>
      </c>
      <c r="FV12" s="1">
        <f t="shared" si="103"/>
        <v>0.125</v>
      </c>
      <c r="FW12" s="1">
        <f t="shared" si="104"/>
        <v>0.17777777777777778</v>
      </c>
      <c r="FX12" s="1">
        <f t="shared" si="105"/>
        <v>0.21621621621621623</v>
      </c>
      <c r="FY12" s="1">
        <f t="shared" si="106"/>
        <v>9.7297297297297298</v>
      </c>
      <c r="FZ12" s="1">
        <f t="shared" si="107"/>
        <v>3.8438438438438444E-2</v>
      </c>
      <c r="GA12" s="1">
        <f t="shared" si="108"/>
        <v>1.7297297297297298</v>
      </c>
      <c r="GD12" s="1">
        <v>45</v>
      </c>
      <c r="GE12" s="1">
        <f t="shared" si="114"/>
        <v>113.63868377284912</v>
      </c>
      <c r="GF12" s="1">
        <v>114.57</v>
      </c>
      <c r="GI12" s="1">
        <v>45</v>
      </c>
      <c r="GJ12" s="1">
        <f t="shared" si="109"/>
        <v>75.341978281741689</v>
      </c>
      <c r="GK12" s="1">
        <v>0.05</v>
      </c>
      <c r="GL12" s="1">
        <f t="shared" si="110"/>
        <v>3.7670989140870845</v>
      </c>
      <c r="GM12" s="1">
        <f t="shared" si="111"/>
        <v>79.109077195828775</v>
      </c>
    </row>
    <row r="13" spans="2:195" x14ac:dyDescent="0.3">
      <c r="B13" s="1">
        <v>60</v>
      </c>
      <c r="C13" s="1">
        <f t="shared" si="112"/>
        <v>1.6666666666666666E-2</v>
      </c>
      <c r="F13" s="1">
        <f t="shared" si="0"/>
        <v>60</v>
      </c>
      <c r="G13" s="1">
        <v>10</v>
      </c>
      <c r="H13" s="1">
        <f t="shared" si="8"/>
        <v>1.6666666666666666E-2</v>
      </c>
      <c r="I13" s="1">
        <f t="shared" si="8"/>
        <v>0.1</v>
      </c>
      <c r="J13" s="1">
        <f t="shared" si="9"/>
        <v>0.16666666666666666</v>
      </c>
      <c r="K13" s="1">
        <f t="shared" si="10"/>
        <v>0.19999999999999998</v>
      </c>
      <c r="L13" s="1">
        <f t="shared" si="11"/>
        <v>12</v>
      </c>
      <c r="M13" s="1">
        <f t="shared" si="12"/>
        <v>3.3333333333333326E-2</v>
      </c>
      <c r="N13" s="1">
        <f t="shared" si="13"/>
        <v>1.9999999999999996</v>
      </c>
      <c r="S13" s="1">
        <f>F13/Q8</f>
        <v>57</v>
      </c>
      <c r="T13" s="1">
        <v>5</v>
      </c>
      <c r="U13" s="1">
        <f t="shared" si="14"/>
        <v>1.7543859649122806E-2</v>
      </c>
      <c r="V13" s="1">
        <f t="shared" si="14"/>
        <v>0.2</v>
      </c>
      <c r="W13" s="1">
        <f t="shared" si="15"/>
        <v>8.771929824561403E-2</v>
      </c>
      <c r="X13" s="1">
        <f t="shared" si="1"/>
        <v>9.6153846153846159E-2</v>
      </c>
      <c r="Y13" s="1">
        <f t="shared" si="2"/>
        <v>5.4807692307692317</v>
      </c>
      <c r="Z13" s="1">
        <f t="shared" si="3"/>
        <v>8.434547908232129E-3</v>
      </c>
      <c r="AA13" s="1">
        <f t="shared" si="4"/>
        <v>0.48076923076923139</v>
      </c>
      <c r="AF13" s="1">
        <f>S13/AD8</f>
        <v>1140</v>
      </c>
      <c r="AG13" s="1">
        <v>15</v>
      </c>
      <c r="AH13" s="1">
        <f t="shared" si="16"/>
        <v>8.7719298245614037E-4</v>
      </c>
      <c r="AI13" s="1">
        <f t="shared" si="16"/>
        <v>6.6666666666666666E-2</v>
      </c>
      <c r="AJ13" s="1">
        <f t="shared" si="17"/>
        <v>1.3157894736842106E-2</v>
      </c>
      <c r="AK13" s="1">
        <f t="shared" si="18"/>
        <v>1.3333333333333334E-2</v>
      </c>
      <c r="AL13" s="1">
        <f t="shared" si="19"/>
        <v>15.200000000000001</v>
      </c>
      <c r="AM13" s="1">
        <f t="shared" si="20"/>
        <v>1.7543859649122792E-4</v>
      </c>
      <c r="AN13" s="1">
        <f t="shared" si="21"/>
        <v>0.19999999999999982</v>
      </c>
      <c r="AS13" s="1">
        <f t="shared" si="22"/>
        <v>57</v>
      </c>
      <c r="AT13" s="1">
        <v>5</v>
      </c>
      <c r="AU13" s="1">
        <f t="shared" si="23"/>
        <v>1.7543859649122806E-2</v>
      </c>
      <c r="AV13" s="1">
        <f t="shared" si="24"/>
        <v>0.2</v>
      </c>
      <c r="AW13" s="1">
        <f t="shared" si="25"/>
        <v>8.771929824561403E-2</v>
      </c>
      <c r="AX13" s="1">
        <f t="shared" si="26"/>
        <v>9.6153846153846159E-2</v>
      </c>
      <c r="AY13" s="1">
        <f t="shared" si="27"/>
        <v>5.4807692307692317</v>
      </c>
      <c r="AZ13" s="1">
        <f t="shared" si="28"/>
        <v>8.434547908232129E-3</v>
      </c>
      <c r="BA13" s="1">
        <f t="shared" si="29"/>
        <v>0.48076923076923139</v>
      </c>
      <c r="BF13" s="1">
        <f t="shared" si="30"/>
        <v>57</v>
      </c>
      <c r="BG13" s="1">
        <v>16</v>
      </c>
      <c r="BH13" s="1">
        <f t="shared" si="31"/>
        <v>1.7543859649122806E-2</v>
      </c>
      <c r="BI13" s="1">
        <f t="shared" si="32"/>
        <v>6.25E-2</v>
      </c>
      <c r="BJ13" s="1">
        <f t="shared" si="33"/>
        <v>0.14035087719298245</v>
      </c>
      <c r="BK13" s="1">
        <f t="shared" si="34"/>
        <v>0.16326530612244897</v>
      </c>
      <c r="BL13" s="1">
        <f t="shared" si="35"/>
        <v>16.321507064364209</v>
      </c>
      <c r="BM13" s="1">
        <f t="shared" si="36"/>
        <v>2.2914428929466518E-2</v>
      </c>
      <c r="BN13" s="1">
        <f t="shared" si="37"/>
        <v>1.3061224489795915</v>
      </c>
      <c r="BS13" s="1">
        <f t="shared" si="38"/>
        <v>57</v>
      </c>
      <c r="BT13" s="1">
        <v>10</v>
      </c>
      <c r="BU13" s="1">
        <f t="shared" si="39"/>
        <v>1.7543859649122806E-2</v>
      </c>
      <c r="BV13" s="1">
        <f t="shared" si="40"/>
        <v>0.1</v>
      </c>
      <c r="BW13" s="1">
        <f t="shared" si="41"/>
        <v>0.17543859649122806</v>
      </c>
      <c r="BX13" s="1">
        <f t="shared" si="42"/>
        <v>0.21276595744680848</v>
      </c>
      <c r="BY13" s="1">
        <f t="shared" si="43"/>
        <v>12.127659574468085</v>
      </c>
      <c r="BZ13" s="1">
        <f t="shared" si="44"/>
        <v>3.7327360955580424E-2</v>
      </c>
      <c r="CA13" s="1">
        <f t="shared" si="45"/>
        <v>2.1276595744680842</v>
      </c>
      <c r="CC13" s="1">
        <f t="shared" si="46"/>
        <v>21.491434486892899</v>
      </c>
      <c r="CF13" s="1">
        <f t="shared" si="113"/>
        <v>57</v>
      </c>
      <c r="CG13" s="1">
        <v>16</v>
      </c>
      <c r="CH13" s="1">
        <f t="shared" si="47"/>
        <v>1.7543859649122806E-2</v>
      </c>
      <c r="CI13" s="1">
        <f t="shared" si="48"/>
        <v>6.25E-2</v>
      </c>
      <c r="CJ13" s="1">
        <f t="shared" si="49"/>
        <v>0.14035087719298245</v>
      </c>
      <c r="CK13" s="1">
        <f t="shared" si="50"/>
        <v>0.16326530612244897</v>
      </c>
      <c r="CL13" s="1">
        <f t="shared" si="51"/>
        <v>16.321507064364209</v>
      </c>
      <c r="CM13" s="1">
        <f t="shared" si="52"/>
        <v>2.2914428929466518E-2</v>
      </c>
      <c r="CN13" s="1">
        <f t="shared" si="53"/>
        <v>1.3061224489795915</v>
      </c>
      <c r="CS13" s="1">
        <f t="shared" si="54"/>
        <v>57</v>
      </c>
      <c r="CT13" s="1">
        <v>5</v>
      </c>
      <c r="CU13" s="1">
        <f t="shared" si="55"/>
        <v>1.7543859649122806E-2</v>
      </c>
      <c r="CV13" s="1">
        <f t="shared" si="56"/>
        <v>0.2</v>
      </c>
      <c r="CW13" s="1">
        <f t="shared" si="57"/>
        <v>8.771929824561403E-2</v>
      </c>
      <c r="CX13" s="1">
        <f t="shared" si="58"/>
        <v>9.6153846153846159E-2</v>
      </c>
      <c r="CY13" s="1">
        <f t="shared" si="59"/>
        <v>5.4807692307692317</v>
      </c>
      <c r="CZ13" s="1">
        <f t="shared" si="60"/>
        <v>8.434547908232129E-3</v>
      </c>
      <c r="DA13" s="1">
        <f t="shared" si="61"/>
        <v>0.48076923076923139</v>
      </c>
      <c r="DF13" s="1">
        <f t="shared" si="62"/>
        <v>57</v>
      </c>
      <c r="DG13" s="1">
        <v>13</v>
      </c>
      <c r="DH13" s="1">
        <f t="shared" si="63"/>
        <v>1.7543859649122806E-2</v>
      </c>
      <c r="DI13" s="1">
        <f t="shared" si="64"/>
        <v>7.6923076923076927E-2</v>
      </c>
      <c r="DJ13" s="1">
        <f t="shared" si="65"/>
        <v>0.22807017543859648</v>
      </c>
      <c r="DK13" s="1">
        <f t="shared" si="66"/>
        <v>0.29545454545454547</v>
      </c>
      <c r="DL13" s="1">
        <f t="shared" si="67"/>
        <v>16.840909090909093</v>
      </c>
      <c r="DM13" s="1">
        <f t="shared" si="68"/>
        <v>6.7384370015948991E-2</v>
      </c>
      <c r="DN13" s="1">
        <f t="shared" si="69"/>
        <v>3.8409090909090926</v>
      </c>
      <c r="DP13" s="1">
        <f t="shared" si="5"/>
        <v>71.856158334473889</v>
      </c>
      <c r="DS13" s="1">
        <f>DF13/DQ8</f>
        <v>60</v>
      </c>
      <c r="DT13" s="1">
        <v>3</v>
      </c>
      <c r="DU13" s="1">
        <f t="shared" si="70"/>
        <v>1.6666666666666666E-2</v>
      </c>
      <c r="DV13" s="1">
        <f t="shared" si="71"/>
        <v>0.33333333333333331</v>
      </c>
      <c r="DW13" s="1">
        <f t="shared" si="72"/>
        <v>0.05</v>
      </c>
      <c r="DX13" s="1">
        <f t="shared" si="73"/>
        <v>5.2631578947368425E-2</v>
      </c>
      <c r="DY13" s="1">
        <f t="shared" si="74"/>
        <v>3.1578947368421058</v>
      </c>
      <c r="DZ13" s="1">
        <f t="shared" si="75"/>
        <v>2.6315789473684223E-3</v>
      </c>
      <c r="EA13" s="1">
        <f t="shared" si="76"/>
        <v>0.15789473684210534</v>
      </c>
      <c r="EF13" s="1">
        <f t="shared" si="77"/>
        <v>120</v>
      </c>
      <c r="EG13" s="1">
        <v>3</v>
      </c>
      <c r="EH13" s="1">
        <f t="shared" si="78"/>
        <v>8.3333333333333332E-3</v>
      </c>
      <c r="EI13" s="1">
        <f t="shared" si="79"/>
        <v>0.33333333333333331</v>
      </c>
      <c r="EJ13" s="1">
        <f t="shared" si="80"/>
        <v>2.5000000000000001E-2</v>
      </c>
      <c r="EK13" s="1">
        <f t="shared" si="81"/>
        <v>2.5641025641025644E-2</v>
      </c>
      <c r="EL13" s="1">
        <f t="shared" si="82"/>
        <v>3.0769230769230771</v>
      </c>
      <c r="EM13" s="1">
        <f t="shared" si="83"/>
        <v>6.4102564102564222E-4</v>
      </c>
      <c r="EN13" s="1">
        <f t="shared" si="84"/>
        <v>7.6923076923077066E-2</v>
      </c>
      <c r="ES13" s="1">
        <f t="shared" si="85"/>
        <v>120</v>
      </c>
      <c r="ET13" s="1">
        <v>3</v>
      </c>
      <c r="EU13" s="1">
        <f t="shared" si="86"/>
        <v>8.3333333333333332E-3</v>
      </c>
      <c r="EV13" s="1">
        <f t="shared" si="87"/>
        <v>0.33333333333333331</v>
      </c>
      <c r="EW13" s="1">
        <f t="shared" si="88"/>
        <v>2.5000000000000001E-2</v>
      </c>
      <c r="EX13" s="1">
        <f t="shared" si="89"/>
        <v>2.5641025641025644E-2</v>
      </c>
      <c r="EY13" s="1">
        <f t="shared" si="90"/>
        <v>3.0769230769230771</v>
      </c>
      <c r="EZ13" s="1">
        <f t="shared" si="91"/>
        <v>6.4102564102564222E-4</v>
      </c>
      <c r="FA13" s="1">
        <f t="shared" si="92"/>
        <v>7.6923076923077066E-2</v>
      </c>
      <c r="FF13" s="1">
        <f t="shared" si="93"/>
        <v>60</v>
      </c>
      <c r="FG13" s="1">
        <v>5</v>
      </c>
      <c r="FH13" s="1">
        <f t="shared" si="94"/>
        <v>1.6666666666666666E-2</v>
      </c>
      <c r="FI13" s="1">
        <f t="shared" si="95"/>
        <v>0.2</v>
      </c>
      <c r="FJ13" s="1">
        <f t="shared" si="96"/>
        <v>8.3333333333333329E-2</v>
      </c>
      <c r="FK13" s="1">
        <f t="shared" si="97"/>
        <v>9.0909090909090912E-2</v>
      </c>
      <c r="FL13" s="1">
        <f t="shared" si="98"/>
        <v>5.454545454545455</v>
      </c>
      <c r="FM13" s="1">
        <f t="shared" si="99"/>
        <v>7.5757575757575829E-3</v>
      </c>
      <c r="FN13" s="1">
        <f t="shared" si="100"/>
        <v>0.45454545454545497</v>
      </c>
      <c r="FS13" s="1">
        <f t="shared" si="101"/>
        <v>60</v>
      </c>
      <c r="FT13" s="1">
        <v>8</v>
      </c>
      <c r="FU13" s="1">
        <f t="shared" si="102"/>
        <v>1.6666666666666666E-2</v>
      </c>
      <c r="FV13" s="1">
        <f t="shared" si="103"/>
        <v>0.125</v>
      </c>
      <c r="FW13" s="1">
        <f t="shared" si="104"/>
        <v>0.13333333333333333</v>
      </c>
      <c r="FX13" s="1">
        <f t="shared" si="105"/>
        <v>0.15384615384615383</v>
      </c>
      <c r="FY13" s="1">
        <f t="shared" si="106"/>
        <v>9.2307692307692299</v>
      </c>
      <c r="FZ13" s="1">
        <f t="shared" si="107"/>
        <v>2.0512820512820495E-2</v>
      </c>
      <c r="GA13" s="1">
        <f t="shared" si="108"/>
        <v>1.2307692307692297</v>
      </c>
      <c r="GD13" s="1">
        <v>60</v>
      </c>
      <c r="GE13" s="1">
        <f t="shared" si="114"/>
        <v>108.36909875027744</v>
      </c>
      <c r="GF13" s="1">
        <v>108.98</v>
      </c>
      <c r="GI13" s="1">
        <v>60</v>
      </c>
      <c r="GJ13" s="1">
        <f t="shared" si="109"/>
        <v>71.856158334473889</v>
      </c>
      <c r="GK13" s="1">
        <v>0.05</v>
      </c>
      <c r="GL13" s="1">
        <f t="shared" si="110"/>
        <v>3.5928079167236948</v>
      </c>
      <c r="GM13" s="1">
        <f t="shared" si="111"/>
        <v>75.448966251197589</v>
      </c>
    </row>
    <row r="14" spans="2:195" x14ac:dyDescent="0.3">
      <c r="B14" s="1">
        <v>75</v>
      </c>
      <c r="C14" s="1">
        <f t="shared" si="112"/>
        <v>1.3333333333333334E-2</v>
      </c>
      <c r="F14" s="1">
        <f t="shared" si="0"/>
        <v>75</v>
      </c>
      <c r="G14" s="1">
        <v>10</v>
      </c>
      <c r="H14" s="1">
        <f t="shared" si="8"/>
        <v>1.3333333333333334E-2</v>
      </c>
      <c r="I14" s="1">
        <f t="shared" si="8"/>
        <v>0.1</v>
      </c>
      <c r="J14" s="1">
        <f t="shared" si="9"/>
        <v>0.13333333333333333</v>
      </c>
      <c r="K14" s="1">
        <f t="shared" si="10"/>
        <v>0.15384615384615383</v>
      </c>
      <c r="L14" s="1">
        <f t="shared" si="11"/>
        <v>11.538461538461537</v>
      </c>
      <c r="M14" s="1">
        <f t="shared" si="12"/>
        <v>2.0512820512820495E-2</v>
      </c>
      <c r="N14" s="1">
        <f t="shared" si="13"/>
        <v>1.538461538461537</v>
      </c>
      <c r="S14" s="1">
        <f>F14/Q8</f>
        <v>71.25</v>
      </c>
      <c r="T14" s="1">
        <v>5</v>
      </c>
      <c r="U14" s="1">
        <f t="shared" si="14"/>
        <v>1.4035087719298246E-2</v>
      </c>
      <c r="V14" s="1">
        <f t="shared" si="14"/>
        <v>0.2</v>
      </c>
      <c r="W14" s="1">
        <f t="shared" si="15"/>
        <v>7.0175438596491224E-2</v>
      </c>
      <c r="X14" s="1">
        <f t="shared" si="1"/>
        <v>7.5471698113207544E-2</v>
      </c>
      <c r="Y14" s="1">
        <f t="shared" si="2"/>
        <v>5.3773584905660377</v>
      </c>
      <c r="Z14" s="1">
        <f t="shared" si="3"/>
        <v>5.2962595167163201E-3</v>
      </c>
      <c r="AA14" s="1">
        <f t="shared" si="4"/>
        <v>0.37735849056603782</v>
      </c>
      <c r="AF14" s="1">
        <f>S14/AD8</f>
        <v>1425</v>
      </c>
      <c r="AG14" s="1">
        <v>15</v>
      </c>
      <c r="AH14" s="1">
        <f t="shared" si="16"/>
        <v>7.0175438596491223E-4</v>
      </c>
      <c r="AI14" s="1">
        <f t="shared" si="16"/>
        <v>6.6666666666666666E-2</v>
      </c>
      <c r="AJ14" s="1">
        <f t="shared" si="17"/>
        <v>1.0526315789473684E-2</v>
      </c>
      <c r="AK14" s="1">
        <f t="shared" si="18"/>
        <v>1.0638297872340425E-2</v>
      </c>
      <c r="AL14" s="1">
        <f t="shared" si="19"/>
        <v>15.159574468085108</v>
      </c>
      <c r="AM14" s="1">
        <f t="shared" si="20"/>
        <v>1.119820828667413E-4</v>
      </c>
      <c r="AN14" s="1">
        <f t="shared" si="21"/>
        <v>0.15957446808510636</v>
      </c>
      <c r="AS14" s="1">
        <f t="shared" si="22"/>
        <v>71.25</v>
      </c>
      <c r="AT14" s="1">
        <v>5</v>
      </c>
      <c r="AU14" s="1">
        <f t="shared" si="23"/>
        <v>1.4035087719298246E-2</v>
      </c>
      <c r="AV14" s="1">
        <f t="shared" si="24"/>
        <v>0.2</v>
      </c>
      <c r="AW14" s="1">
        <f t="shared" si="25"/>
        <v>7.0175438596491224E-2</v>
      </c>
      <c r="AX14" s="1">
        <f t="shared" si="26"/>
        <v>7.5471698113207544E-2</v>
      </c>
      <c r="AY14" s="1">
        <f t="shared" si="27"/>
        <v>5.3773584905660377</v>
      </c>
      <c r="AZ14" s="1">
        <f t="shared" si="28"/>
        <v>5.2962595167163201E-3</v>
      </c>
      <c r="BA14" s="1">
        <f t="shared" si="29"/>
        <v>0.37735849056603782</v>
      </c>
      <c r="BF14" s="1">
        <f t="shared" si="30"/>
        <v>71.25</v>
      </c>
      <c r="BG14" s="1">
        <v>16</v>
      </c>
      <c r="BH14" s="1">
        <f t="shared" si="31"/>
        <v>1.4035087719298246E-2</v>
      </c>
      <c r="BI14" s="1">
        <f t="shared" si="32"/>
        <v>6.25E-2</v>
      </c>
      <c r="BJ14" s="1">
        <f t="shared" si="33"/>
        <v>0.11228070175438597</v>
      </c>
      <c r="BK14" s="1">
        <f t="shared" si="34"/>
        <v>0.12648221343873517</v>
      </c>
      <c r="BL14" s="1">
        <f t="shared" si="35"/>
        <v>16.2042867295919</v>
      </c>
      <c r="BM14" s="1">
        <f t="shared" si="36"/>
        <v>1.4201511684349202E-2</v>
      </c>
      <c r="BN14" s="1">
        <f t="shared" si="37"/>
        <v>1.0118577075098807</v>
      </c>
      <c r="BS14" s="1">
        <f t="shared" si="38"/>
        <v>71.25</v>
      </c>
      <c r="BT14" s="1">
        <v>10</v>
      </c>
      <c r="BU14" s="1">
        <f t="shared" si="39"/>
        <v>1.4035087719298246E-2</v>
      </c>
      <c r="BV14" s="1">
        <f t="shared" si="40"/>
        <v>0.1</v>
      </c>
      <c r="BW14" s="1">
        <f t="shared" si="41"/>
        <v>0.14035087719298245</v>
      </c>
      <c r="BX14" s="1">
        <f t="shared" si="42"/>
        <v>0.16326530612244897</v>
      </c>
      <c r="BY14" s="1">
        <f t="shared" si="43"/>
        <v>11.632653061224488</v>
      </c>
      <c r="BZ14" s="1">
        <f t="shared" si="44"/>
        <v>2.2914428929466518E-2</v>
      </c>
      <c r="CA14" s="1">
        <f t="shared" si="45"/>
        <v>1.6326530612244894</v>
      </c>
      <c r="CC14" s="1">
        <f t="shared" si="46"/>
        <v>21.065403585815371</v>
      </c>
      <c r="CF14" s="1">
        <f t="shared" si="113"/>
        <v>71.25</v>
      </c>
      <c r="CG14" s="1">
        <v>16</v>
      </c>
      <c r="CH14" s="1">
        <f t="shared" si="47"/>
        <v>1.4035087719298246E-2</v>
      </c>
      <c r="CI14" s="1">
        <f t="shared" si="48"/>
        <v>6.25E-2</v>
      </c>
      <c r="CJ14" s="1">
        <f t="shared" si="49"/>
        <v>0.11228070175438597</v>
      </c>
      <c r="CK14" s="1">
        <f t="shared" si="50"/>
        <v>0.12648221343873517</v>
      </c>
      <c r="CL14" s="1">
        <f t="shared" si="51"/>
        <v>16.2042867295919</v>
      </c>
      <c r="CM14" s="1">
        <f t="shared" si="52"/>
        <v>1.4201511684349202E-2</v>
      </c>
      <c r="CN14" s="1">
        <f t="shared" si="53"/>
        <v>1.0118577075098807</v>
      </c>
      <c r="CS14" s="1">
        <f t="shared" si="54"/>
        <v>71.25</v>
      </c>
      <c r="CT14" s="1">
        <v>5</v>
      </c>
      <c r="CU14" s="1">
        <f t="shared" si="55"/>
        <v>1.4035087719298246E-2</v>
      </c>
      <c r="CV14" s="1">
        <f t="shared" si="56"/>
        <v>0.2</v>
      </c>
      <c r="CW14" s="1">
        <f t="shared" si="57"/>
        <v>7.0175438596491224E-2</v>
      </c>
      <c r="CX14" s="1">
        <f t="shared" si="58"/>
        <v>7.5471698113207544E-2</v>
      </c>
      <c r="CY14" s="1">
        <f t="shared" si="59"/>
        <v>5.3773584905660377</v>
      </c>
      <c r="CZ14" s="1">
        <f t="shared" si="60"/>
        <v>5.2962595167163201E-3</v>
      </c>
      <c r="DA14" s="1">
        <f t="shared" si="61"/>
        <v>0.37735849056603782</v>
      </c>
      <c r="DF14" s="1">
        <f t="shared" si="62"/>
        <v>71.25</v>
      </c>
      <c r="DG14" s="1">
        <v>13</v>
      </c>
      <c r="DH14" s="1">
        <f t="shared" si="63"/>
        <v>1.4035087719298246E-2</v>
      </c>
      <c r="DI14" s="1">
        <f t="shared" si="64"/>
        <v>7.6923076923076927E-2</v>
      </c>
      <c r="DJ14" s="1">
        <f t="shared" si="65"/>
        <v>0.18245614035087718</v>
      </c>
      <c r="DK14" s="1">
        <f t="shared" si="66"/>
        <v>0.22317596566523604</v>
      </c>
      <c r="DL14" s="1">
        <f t="shared" si="67"/>
        <v>15.901287553648068</v>
      </c>
      <c r="DM14" s="1">
        <f t="shared" si="68"/>
        <v>4.071982531435886E-2</v>
      </c>
      <c r="DN14" s="1">
        <f t="shared" si="69"/>
        <v>2.9012875536480687</v>
      </c>
      <c r="DP14" s="1">
        <f t="shared" si="5"/>
        <v>70.0610320641577</v>
      </c>
      <c r="DS14" s="1">
        <f>DF14/DQ8</f>
        <v>75</v>
      </c>
      <c r="DT14" s="1">
        <v>3</v>
      </c>
      <c r="DU14" s="1">
        <f t="shared" si="70"/>
        <v>1.3333333333333334E-2</v>
      </c>
      <c r="DV14" s="1">
        <f t="shared" si="71"/>
        <v>0.33333333333333331</v>
      </c>
      <c r="DW14" s="1">
        <f t="shared" si="72"/>
        <v>4.0000000000000008E-2</v>
      </c>
      <c r="DX14" s="1">
        <f t="shared" si="73"/>
        <v>4.1666666666666678E-2</v>
      </c>
      <c r="DY14" s="1">
        <f t="shared" si="74"/>
        <v>3.1250000000000009</v>
      </c>
      <c r="DZ14" s="1">
        <f t="shared" si="75"/>
        <v>1.6666666666666705E-3</v>
      </c>
      <c r="EA14" s="1">
        <f t="shared" si="76"/>
        <v>0.12500000000000028</v>
      </c>
      <c r="EF14" s="1">
        <f t="shared" si="77"/>
        <v>150</v>
      </c>
      <c r="EG14" s="1">
        <v>3</v>
      </c>
      <c r="EH14" s="1">
        <f t="shared" si="78"/>
        <v>6.6666666666666671E-3</v>
      </c>
      <c r="EI14" s="1">
        <f t="shared" si="79"/>
        <v>0.33333333333333331</v>
      </c>
      <c r="EJ14" s="1">
        <f t="shared" si="80"/>
        <v>2.0000000000000004E-2</v>
      </c>
      <c r="EK14" s="1">
        <f t="shared" si="81"/>
        <v>2.0408163265306128E-2</v>
      </c>
      <c r="EL14" s="1">
        <f t="shared" si="82"/>
        <v>3.0612244897959191</v>
      </c>
      <c r="EM14" s="1">
        <f t="shared" si="83"/>
        <v>4.0816326530612387E-4</v>
      </c>
      <c r="EN14" s="1">
        <f t="shared" si="84"/>
        <v>6.1224489795918574E-2</v>
      </c>
      <c r="ES14" s="1">
        <f t="shared" si="85"/>
        <v>150</v>
      </c>
      <c r="ET14" s="1">
        <v>3</v>
      </c>
      <c r="EU14" s="1">
        <f t="shared" si="86"/>
        <v>6.6666666666666671E-3</v>
      </c>
      <c r="EV14" s="1">
        <f t="shared" si="87"/>
        <v>0.33333333333333331</v>
      </c>
      <c r="EW14" s="1">
        <f t="shared" si="88"/>
        <v>2.0000000000000004E-2</v>
      </c>
      <c r="EX14" s="1">
        <f t="shared" si="89"/>
        <v>2.0408163265306128E-2</v>
      </c>
      <c r="EY14" s="1">
        <f t="shared" si="90"/>
        <v>3.0612244897959191</v>
      </c>
      <c r="EZ14" s="1">
        <f t="shared" si="91"/>
        <v>4.0816326530612387E-4</v>
      </c>
      <c r="FA14" s="1">
        <f t="shared" si="92"/>
        <v>6.1224489795918574E-2</v>
      </c>
      <c r="FF14" s="1">
        <f t="shared" si="93"/>
        <v>75</v>
      </c>
      <c r="FG14" s="1">
        <v>5</v>
      </c>
      <c r="FH14" s="1">
        <f t="shared" si="94"/>
        <v>1.3333333333333334E-2</v>
      </c>
      <c r="FI14" s="1">
        <f t="shared" si="95"/>
        <v>0.2</v>
      </c>
      <c r="FJ14" s="1">
        <f t="shared" si="96"/>
        <v>6.6666666666666666E-2</v>
      </c>
      <c r="FK14" s="1">
        <f t="shared" si="97"/>
        <v>7.1428571428571425E-2</v>
      </c>
      <c r="FL14" s="1">
        <f t="shared" si="98"/>
        <v>5.3571428571428568</v>
      </c>
      <c r="FM14" s="1">
        <f t="shared" si="99"/>
        <v>4.7619047619047589E-3</v>
      </c>
      <c r="FN14" s="1">
        <f t="shared" si="100"/>
        <v>0.35714285714285687</v>
      </c>
      <c r="FS14" s="1">
        <f t="shared" si="101"/>
        <v>75</v>
      </c>
      <c r="FT14" s="1">
        <v>8</v>
      </c>
      <c r="FU14" s="1">
        <f t="shared" si="102"/>
        <v>1.3333333333333334E-2</v>
      </c>
      <c r="FV14" s="1">
        <f t="shared" si="103"/>
        <v>0.125</v>
      </c>
      <c r="FW14" s="1">
        <f t="shared" si="104"/>
        <v>0.10666666666666667</v>
      </c>
      <c r="FX14" s="1">
        <f t="shared" si="105"/>
        <v>0.11940298507462688</v>
      </c>
      <c r="FY14" s="1">
        <f t="shared" si="106"/>
        <v>8.9552238805970159</v>
      </c>
      <c r="FZ14" s="1">
        <f t="shared" si="107"/>
        <v>1.2736318407960204E-2</v>
      </c>
      <c r="GA14" s="1">
        <f t="shared" si="108"/>
        <v>0.95522388059701524</v>
      </c>
      <c r="GD14" s="1">
        <v>75</v>
      </c>
      <c r="GE14" s="1">
        <f t="shared" si="114"/>
        <v>105.60113643336294</v>
      </c>
      <c r="GF14" s="1">
        <v>105.38</v>
      </c>
      <c r="GI14" s="1">
        <v>75</v>
      </c>
      <c r="GJ14" s="1">
        <f t="shared" si="109"/>
        <v>70.0610320641577</v>
      </c>
      <c r="GK14" s="1">
        <v>0.05</v>
      </c>
      <c r="GL14" s="1">
        <f t="shared" si="110"/>
        <v>3.5030516032078851</v>
      </c>
      <c r="GM14" s="1">
        <f t="shared" si="111"/>
        <v>73.56408366736558</v>
      </c>
    </row>
    <row r="15" spans="2:195" x14ac:dyDescent="0.3">
      <c r="B15" s="1">
        <v>90</v>
      </c>
      <c r="C15" s="1">
        <f t="shared" si="112"/>
        <v>1.1111111111111112E-2</v>
      </c>
      <c r="F15" s="1">
        <f t="shared" si="0"/>
        <v>90</v>
      </c>
      <c r="G15" s="1">
        <v>10</v>
      </c>
      <c r="H15" s="1">
        <f t="shared" si="8"/>
        <v>1.1111111111111112E-2</v>
      </c>
      <c r="I15" s="1">
        <f t="shared" si="8"/>
        <v>0.1</v>
      </c>
      <c r="J15" s="1">
        <f t="shared" si="9"/>
        <v>0.1111111111111111</v>
      </c>
      <c r="K15" s="1">
        <f t="shared" si="10"/>
        <v>0.125</v>
      </c>
      <c r="L15" s="1">
        <f t="shared" si="11"/>
        <v>11.25</v>
      </c>
      <c r="M15" s="1">
        <f t="shared" si="12"/>
        <v>1.3888888888888895E-2</v>
      </c>
      <c r="N15" s="1">
        <f t="shared" si="13"/>
        <v>1.2500000000000004</v>
      </c>
      <c r="S15" s="1">
        <f>F15/Q8</f>
        <v>85.5</v>
      </c>
      <c r="T15" s="1">
        <v>5</v>
      </c>
      <c r="U15" s="1">
        <f t="shared" si="14"/>
        <v>1.1695906432748537E-2</v>
      </c>
      <c r="V15" s="1">
        <f t="shared" si="14"/>
        <v>0.2</v>
      </c>
      <c r="W15" s="1">
        <f t="shared" si="15"/>
        <v>5.8479532163742687E-2</v>
      </c>
      <c r="X15" s="1">
        <f t="shared" si="1"/>
        <v>6.2111801242236024E-2</v>
      </c>
      <c r="Y15" s="1">
        <f t="shared" si="2"/>
        <v>5.3105590062111805</v>
      </c>
      <c r="Z15" s="1">
        <f t="shared" si="3"/>
        <v>3.6322690784933373E-3</v>
      </c>
      <c r="AA15" s="1">
        <f t="shared" si="4"/>
        <v>0.31055900621118038</v>
      </c>
      <c r="AF15" s="1">
        <f>S15/AD8</f>
        <v>1710</v>
      </c>
      <c r="AG15" s="1">
        <v>15</v>
      </c>
      <c r="AH15" s="1">
        <f t="shared" si="16"/>
        <v>5.8479532163742691E-4</v>
      </c>
      <c r="AI15" s="1">
        <f t="shared" si="16"/>
        <v>6.6666666666666666E-2</v>
      </c>
      <c r="AJ15" s="1">
        <f t="shared" si="17"/>
        <v>8.771929824561403E-3</v>
      </c>
      <c r="AK15" s="1">
        <f t="shared" si="18"/>
        <v>8.8495575221238937E-3</v>
      </c>
      <c r="AL15" s="1">
        <f t="shared" si="19"/>
        <v>15.132743362831858</v>
      </c>
      <c r="AM15" s="1">
        <f t="shared" si="20"/>
        <v>7.7627697562490661E-5</v>
      </c>
      <c r="AN15" s="1">
        <f t="shared" si="21"/>
        <v>0.13274336283185903</v>
      </c>
      <c r="AS15" s="1">
        <f t="shared" si="22"/>
        <v>85.5</v>
      </c>
      <c r="AT15" s="1">
        <v>5</v>
      </c>
      <c r="AU15" s="1">
        <f t="shared" si="23"/>
        <v>1.1695906432748537E-2</v>
      </c>
      <c r="AV15" s="1">
        <f t="shared" si="24"/>
        <v>0.2</v>
      </c>
      <c r="AW15" s="1">
        <f t="shared" si="25"/>
        <v>5.8479532163742687E-2</v>
      </c>
      <c r="AX15" s="1">
        <f t="shared" si="26"/>
        <v>6.2111801242236024E-2</v>
      </c>
      <c r="AY15" s="1">
        <f t="shared" si="27"/>
        <v>5.3105590062111805</v>
      </c>
      <c r="AZ15" s="1">
        <f t="shared" si="28"/>
        <v>3.6322690784933373E-3</v>
      </c>
      <c r="BA15" s="1">
        <f t="shared" si="29"/>
        <v>0.31055900621118038</v>
      </c>
      <c r="BF15" s="1">
        <f t="shared" si="30"/>
        <v>85.5</v>
      </c>
      <c r="BG15" s="1">
        <v>16</v>
      </c>
      <c r="BH15" s="1">
        <f t="shared" si="31"/>
        <v>1.1695906432748537E-2</v>
      </c>
      <c r="BI15" s="1">
        <f t="shared" si="32"/>
        <v>6.25E-2</v>
      </c>
      <c r="BJ15" s="1">
        <f t="shared" si="33"/>
        <v>9.3567251461988299E-2</v>
      </c>
      <c r="BK15" s="1">
        <f t="shared" si="34"/>
        <v>0.1032258064516129</v>
      </c>
      <c r="BL15" s="1">
        <f t="shared" si="35"/>
        <v>16.141314473003277</v>
      </c>
      <c r="BM15" s="1">
        <f t="shared" si="36"/>
        <v>9.6585549896246042E-3</v>
      </c>
      <c r="BN15" s="1">
        <f t="shared" si="37"/>
        <v>0.82580645161290367</v>
      </c>
      <c r="BS15" s="1">
        <f t="shared" si="38"/>
        <v>85.5</v>
      </c>
      <c r="BT15" s="1">
        <v>10</v>
      </c>
      <c r="BU15" s="1">
        <f t="shared" si="39"/>
        <v>1.1695906432748537E-2</v>
      </c>
      <c r="BV15" s="1">
        <f t="shared" si="40"/>
        <v>0.1</v>
      </c>
      <c r="BW15" s="1">
        <f t="shared" si="41"/>
        <v>0.11695906432748537</v>
      </c>
      <c r="BX15" s="1">
        <f t="shared" si="42"/>
        <v>0.1324503311258278</v>
      </c>
      <c r="BY15" s="1">
        <f t="shared" si="43"/>
        <v>11.324503311258278</v>
      </c>
      <c r="BZ15" s="1">
        <f t="shared" si="44"/>
        <v>1.5491266798342423E-2</v>
      </c>
      <c r="CA15" s="1">
        <f t="shared" si="45"/>
        <v>1.3245033112582774</v>
      </c>
      <c r="CC15" s="1">
        <f t="shared" si="46"/>
        <v>20.810550111790125</v>
      </c>
      <c r="CF15" s="1">
        <f t="shared" si="113"/>
        <v>85.5</v>
      </c>
      <c r="CG15" s="1">
        <v>16</v>
      </c>
      <c r="CH15" s="1">
        <f t="shared" si="47"/>
        <v>1.1695906432748537E-2</v>
      </c>
      <c r="CI15" s="1">
        <f t="shared" si="48"/>
        <v>6.25E-2</v>
      </c>
      <c r="CJ15" s="1">
        <f t="shared" si="49"/>
        <v>9.3567251461988299E-2</v>
      </c>
      <c r="CK15" s="1">
        <f t="shared" si="50"/>
        <v>0.1032258064516129</v>
      </c>
      <c r="CL15" s="1">
        <f t="shared" si="51"/>
        <v>16.141314473003277</v>
      </c>
      <c r="CM15" s="1">
        <f t="shared" si="52"/>
        <v>9.6585549896246042E-3</v>
      </c>
      <c r="CN15" s="1">
        <f t="shared" si="53"/>
        <v>0.82580645161290367</v>
      </c>
      <c r="CS15" s="1">
        <f t="shared" si="54"/>
        <v>85.5</v>
      </c>
      <c r="CT15" s="1">
        <v>5</v>
      </c>
      <c r="CU15" s="1">
        <f t="shared" si="55"/>
        <v>1.1695906432748537E-2</v>
      </c>
      <c r="CV15" s="1">
        <f t="shared" si="56"/>
        <v>0.2</v>
      </c>
      <c r="CW15" s="1">
        <f t="shared" si="57"/>
        <v>5.8479532163742687E-2</v>
      </c>
      <c r="CX15" s="1">
        <f t="shared" si="58"/>
        <v>6.2111801242236024E-2</v>
      </c>
      <c r="CY15" s="1">
        <f t="shared" si="59"/>
        <v>5.3105590062111805</v>
      </c>
      <c r="CZ15" s="1">
        <f t="shared" si="60"/>
        <v>3.6322690784933373E-3</v>
      </c>
      <c r="DA15" s="1">
        <f t="shared" si="61"/>
        <v>0.31055900621118038</v>
      </c>
      <c r="DF15" s="1">
        <f t="shared" si="62"/>
        <v>85.5</v>
      </c>
      <c r="DG15" s="1">
        <v>13</v>
      </c>
      <c r="DH15" s="1">
        <f t="shared" si="63"/>
        <v>1.1695906432748537E-2</v>
      </c>
      <c r="DI15" s="1">
        <f t="shared" si="64"/>
        <v>7.6923076923076927E-2</v>
      </c>
      <c r="DJ15" s="1">
        <f t="shared" si="65"/>
        <v>0.15204678362573099</v>
      </c>
      <c r="DK15" s="1">
        <f t="shared" si="66"/>
        <v>0.1793103448275862</v>
      </c>
      <c r="DL15" s="1">
        <f t="shared" si="67"/>
        <v>15.331034482758621</v>
      </c>
      <c r="DM15" s="1">
        <f t="shared" si="68"/>
        <v>2.7263561201855219E-2</v>
      </c>
      <c r="DN15" s="1">
        <f t="shared" si="69"/>
        <v>2.3310344827586214</v>
      </c>
      <c r="DP15" s="1">
        <f t="shared" si="5"/>
        <v>68.971213254327154</v>
      </c>
      <c r="DS15" s="1">
        <f>DF15/DQ8</f>
        <v>90</v>
      </c>
      <c r="DT15" s="1">
        <v>3</v>
      </c>
      <c r="DU15" s="1">
        <f t="shared" si="70"/>
        <v>1.1111111111111112E-2</v>
      </c>
      <c r="DV15" s="1">
        <f t="shared" si="71"/>
        <v>0.33333333333333331</v>
      </c>
      <c r="DW15" s="1">
        <f t="shared" si="72"/>
        <v>3.333333333333334E-2</v>
      </c>
      <c r="DX15" s="1">
        <f t="shared" si="73"/>
        <v>3.4482758620689662E-2</v>
      </c>
      <c r="DY15" s="1">
        <f t="shared" si="74"/>
        <v>3.1034482758620694</v>
      </c>
      <c r="DZ15" s="1">
        <f t="shared" si="75"/>
        <v>1.1494252873563218E-3</v>
      </c>
      <c r="EA15" s="1">
        <f t="shared" si="76"/>
        <v>0.10344827586206896</v>
      </c>
      <c r="EF15" s="1">
        <f t="shared" si="77"/>
        <v>180</v>
      </c>
      <c r="EG15" s="1">
        <v>3</v>
      </c>
      <c r="EH15" s="1">
        <f t="shared" si="78"/>
        <v>5.5555555555555558E-3</v>
      </c>
      <c r="EI15" s="1">
        <f t="shared" si="79"/>
        <v>0.33333333333333331</v>
      </c>
      <c r="EJ15" s="1">
        <f t="shared" si="80"/>
        <v>1.666666666666667E-2</v>
      </c>
      <c r="EK15" s="1">
        <f t="shared" si="81"/>
        <v>1.6949152542372885E-2</v>
      </c>
      <c r="EL15" s="1">
        <f t="shared" si="82"/>
        <v>3.050847457627119</v>
      </c>
      <c r="EM15" s="1">
        <f t="shared" si="83"/>
        <v>2.8248587570621486E-4</v>
      </c>
      <c r="EN15" s="1">
        <f t="shared" si="84"/>
        <v>5.0847457627118675E-2</v>
      </c>
      <c r="ES15" s="1">
        <f t="shared" si="85"/>
        <v>180</v>
      </c>
      <c r="ET15" s="1">
        <v>3</v>
      </c>
      <c r="EU15" s="1">
        <f t="shared" si="86"/>
        <v>5.5555555555555558E-3</v>
      </c>
      <c r="EV15" s="1">
        <f t="shared" si="87"/>
        <v>0.33333333333333331</v>
      </c>
      <c r="EW15" s="1">
        <f t="shared" si="88"/>
        <v>1.666666666666667E-2</v>
      </c>
      <c r="EX15" s="1">
        <f t="shared" si="89"/>
        <v>1.6949152542372885E-2</v>
      </c>
      <c r="EY15" s="1">
        <f t="shared" si="90"/>
        <v>3.050847457627119</v>
      </c>
      <c r="EZ15" s="1">
        <f t="shared" si="91"/>
        <v>2.8248587570621486E-4</v>
      </c>
      <c r="FA15" s="1">
        <f t="shared" si="92"/>
        <v>5.0847457627118675E-2</v>
      </c>
      <c r="FF15" s="1">
        <f t="shared" si="93"/>
        <v>90</v>
      </c>
      <c r="FG15" s="1">
        <v>5</v>
      </c>
      <c r="FH15" s="1">
        <f t="shared" si="94"/>
        <v>1.1111111111111112E-2</v>
      </c>
      <c r="FI15" s="1">
        <f t="shared" si="95"/>
        <v>0.2</v>
      </c>
      <c r="FJ15" s="1">
        <f t="shared" si="96"/>
        <v>5.5555555555555552E-2</v>
      </c>
      <c r="FK15" s="1">
        <f t="shared" si="97"/>
        <v>5.8823529411764705E-2</v>
      </c>
      <c r="FL15" s="1">
        <f t="shared" si="98"/>
        <v>5.2941176470588234</v>
      </c>
      <c r="FM15" s="1">
        <f t="shared" si="99"/>
        <v>3.2679738562091526E-3</v>
      </c>
      <c r="FN15" s="1">
        <f t="shared" si="100"/>
        <v>0.29411764705882371</v>
      </c>
      <c r="FS15" s="1">
        <f t="shared" si="101"/>
        <v>90</v>
      </c>
      <c r="FT15" s="1">
        <v>8</v>
      </c>
      <c r="FU15" s="1">
        <f t="shared" si="102"/>
        <v>1.1111111111111112E-2</v>
      </c>
      <c r="FV15" s="1">
        <f t="shared" si="103"/>
        <v>0.125</v>
      </c>
      <c r="FW15" s="1">
        <f t="shared" si="104"/>
        <v>8.8888888888888892E-2</v>
      </c>
      <c r="FX15" s="1">
        <f t="shared" si="105"/>
        <v>9.7560975609756101E-2</v>
      </c>
      <c r="FY15" s="1">
        <f t="shared" si="106"/>
        <v>8.7804878048780495</v>
      </c>
      <c r="FZ15" s="1">
        <f t="shared" si="107"/>
        <v>8.6720867208672087E-3</v>
      </c>
      <c r="GA15" s="1">
        <f t="shared" si="108"/>
        <v>0.7804878048780487</v>
      </c>
      <c r="GD15" s="1">
        <v>90</v>
      </c>
      <c r="GE15" s="1">
        <f t="shared" si="114"/>
        <v>103.89867510246958</v>
      </c>
      <c r="GF15" s="1">
        <v>102.94</v>
      </c>
      <c r="GI15" s="1">
        <v>90</v>
      </c>
      <c r="GJ15" s="1">
        <f t="shared" si="109"/>
        <v>68.971213254327154</v>
      </c>
      <c r="GK15" s="1">
        <v>0.05</v>
      </c>
      <c r="GL15" s="1">
        <f t="shared" si="110"/>
        <v>3.4485606627163579</v>
      </c>
      <c r="GM15" s="1">
        <f t="shared" si="111"/>
        <v>72.419773917043514</v>
      </c>
    </row>
    <row r="16" spans="2:195" x14ac:dyDescent="0.3">
      <c r="B16" s="1">
        <v>100</v>
      </c>
      <c r="C16" s="1">
        <f t="shared" si="112"/>
        <v>0.01</v>
      </c>
      <c r="F16" s="1">
        <f t="shared" si="0"/>
        <v>100</v>
      </c>
      <c r="G16" s="1">
        <v>10</v>
      </c>
      <c r="H16" s="1">
        <f t="shared" si="8"/>
        <v>0.01</v>
      </c>
      <c r="I16" s="1">
        <f t="shared" si="8"/>
        <v>0.1</v>
      </c>
      <c r="J16" s="1">
        <f t="shared" si="9"/>
        <v>9.9999999999999992E-2</v>
      </c>
      <c r="K16" s="1">
        <f t="shared" si="10"/>
        <v>0.1111111111111111</v>
      </c>
      <c r="L16" s="1">
        <f t="shared" si="11"/>
        <v>11.111111111111111</v>
      </c>
      <c r="M16" s="1">
        <f t="shared" si="12"/>
        <v>1.1111111111111113E-2</v>
      </c>
      <c r="N16" s="1">
        <f t="shared" si="13"/>
        <v>1.1111111111111114</v>
      </c>
      <c r="S16" s="1">
        <f>F16/Q8</f>
        <v>95</v>
      </c>
      <c r="T16" s="1">
        <v>5</v>
      </c>
      <c r="U16" s="1">
        <f t="shared" si="14"/>
        <v>1.0526315789473684E-2</v>
      </c>
      <c r="V16" s="1">
        <f t="shared" si="14"/>
        <v>0.2</v>
      </c>
      <c r="W16" s="1">
        <f t="shared" si="15"/>
        <v>5.2631578947368418E-2</v>
      </c>
      <c r="X16" s="1">
        <f t="shared" si="1"/>
        <v>5.5555555555555552E-2</v>
      </c>
      <c r="Y16" s="1">
        <f t="shared" si="2"/>
        <v>5.2777777777777777</v>
      </c>
      <c r="Z16" s="1">
        <f t="shared" si="3"/>
        <v>2.9239766081871343E-3</v>
      </c>
      <c r="AA16" s="1">
        <f t="shared" si="4"/>
        <v>0.27777777777777779</v>
      </c>
      <c r="AF16" s="1">
        <f>S16/AD8</f>
        <v>1900</v>
      </c>
      <c r="AG16" s="1">
        <v>15</v>
      </c>
      <c r="AH16" s="1">
        <f t="shared" si="16"/>
        <v>5.263157894736842E-4</v>
      </c>
      <c r="AI16" s="1">
        <f t="shared" si="16"/>
        <v>6.6666666666666666E-2</v>
      </c>
      <c r="AJ16" s="1">
        <f t="shared" si="17"/>
        <v>7.8947368421052634E-3</v>
      </c>
      <c r="AK16" s="1">
        <f t="shared" si="18"/>
        <v>7.9575596816976128E-3</v>
      </c>
      <c r="AL16" s="1">
        <f t="shared" si="19"/>
        <v>15.119363395225465</v>
      </c>
      <c r="AM16" s="1">
        <f t="shared" si="20"/>
        <v>6.2822839592349342E-5</v>
      </c>
      <c r="AN16" s="1">
        <f t="shared" si="21"/>
        <v>0.11936339522546376</v>
      </c>
      <c r="AS16" s="1">
        <f t="shared" si="22"/>
        <v>95</v>
      </c>
      <c r="AT16" s="1">
        <v>5</v>
      </c>
      <c r="AU16" s="1">
        <f t="shared" si="23"/>
        <v>1.0526315789473684E-2</v>
      </c>
      <c r="AV16" s="1">
        <f t="shared" si="24"/>
        <v>0.2</v>
      </c>
      <c r="AW16" s="1">
        <f t="shared" si="25"/>
        <v>5.2631578947368418E-2</v>
      </c>
      <c r="AX16" s="1">
        <f t="shared" si="26"/>
        <v>5.5555555555555552E-2</v>
      </c>
      <c r="AY16" s="1">
        <f t="shared" si="27"/>
        <v>5.2777777777777777</v>
      </c>
      <c r="AZ16" s="1">
        <f t="shared" si="28"/>
        <v>2.9239766081871343E-3</v>
      </c>
      <c r="BA16" s="1">
        <f t="shared" si="29"/>
        <v>0.27777777777777779</v>
      </c>
      <c r="BF16" s="1">
        <f t="shared" si="30"/>
        <v>95</v>
      </c>
      <c r="BG16" s="1">
        <v>16</v>
      </c>
      <c r="BH16" s="1">
        <f t="shared" si="31"/>
        <v>1.0526315789473684E-2</v>
      </c>
      <c r="BI16" s="1">
        <f t="shared" si="32"/>
        <v>6.25E-2</v>
      </c>
      <c r="BJ16" s="1">
        <f t="shared" si="33"/>
        <v>8.4210526315789472E-2</v>
      </c>
      <c r="BK16" s="1">
        <f t="shared" si="34"/>
        <v>9.1954022988505746E-2</v>
      </c>
      <c r="BL16" s="1">
        <f t="shared" si="35"/>
        <v>16.114272960607074</v>
      </c>
      <c r="BM16" s="1">
        <f t="shared" si="36"/>
        <v>7.7434966727162741E-3</v>
      </c>
      <c r="BN16" s="1">
        <f t="shared" si="37"/>
        <v>0.73563218390804608</v>
      </c>
      <c r="BS16" s="1">
        <f t="shared" si="38"/>
        <v>95</v>
      </c>
      <c r="BT16" s="1">
        <v>10</v>
      </c>
      <c r="BU16" s="1">
        <f t="shared" si="39"/>
        <v>1.0526315789473684E-2</v>
      </c>
      <c r="BV16" s="1">
        <f t="shared" si="40"/>
        <v>0.1</v>
      </c>
      <c r="BW16" s="1">
        <f t="shared" si="41"/>
        <v>0.10526315789473684</v>
      </c>
      <c r="BX16" s="1">
        <f t="shared" si="42"/>
        <v>0.11764705882352941</v>
      </c>
      <c r="BY16" s="1">
        <f t="shared" si="43"/>
        <v>11.176470588235293</v>
      </c>
      <c r="BZ16" s="1">
        <f t="shared" si="44"/>
        <v>1.2383900928792574E-2</v>
      </c>
      <c r="CA16" s="1">
        <f t="shared" si="45"/>
        <v>1.1764705882352946</v>
      </c>
      <c r="CC16" s="1">
        <f t="shared" si="46"/>
        <v>20.691410794397871</v>
      </c>
      <c r="CF16" s="1">
        <f t="shared" si="113"/>
        <v>95</v>
      </c>
      <c r="CG16" s="1">
        <v>16</v>
      </c>
      <c r="CH16" s="1">
        <f t="shared" si="47"/>
        <v>1.0526315789473684E-2</v>
      </c>
      <c r="CI16" s="1">
        <f t="shared" si="48"/>
        <v>6.25E-2</v>
      </c>
      <c r="CJ16" s="1">
        <f t="shared" si="49"/>
        <v>8.4210526315789472E-2</v>
      </c>
      <c r="CK16" s="1">
        <f t="shared" si="50"/>
        <v>9.1954022988505746E-2</v>
      </c>
      <c r="CL16" s="1">
        <f t="shared" si="51"/>
        <v>16.114272960607074</v>
      </c>
      <c r="CM16" s="1">
        <f t="shared" si="52"/>
        <v>7.7434966727162741E-3</v>
      </c>
      <c r="CN16" s="1">
        <f t="shared" si="53"/>
        <v>0.73563218390804608</v>
      </c>
      <c r="CS16" s="1">
        <f t="shared" si="54"/>
        <v>95</v>
      </c>
      <c r="CT16" s="1">
        <v>5</v>
      </c>
      <c r="CU16" s="1">
        <f t="shared" si="55"/>
        <v>1.0526315789473684E-2</v>
      </c>
      <c r="CV16" s="1">
        <f t="shared" si="56"/>
        <v>0.2</v>
      </c>
      <c r="CW16" s="1">
        <f t="shared" si="57"/>
        <v>5.2631578947368418E-2</v>
      </c>
      <c r="CX16" s="1">
        <f t="shared" si="58"/>
        <v>5.5555555555555552E-2</v>
      </c>
      <c r="CY16" s="1">
        <f t="shared" si="59"/>
        <v>5.2777777777777777</v>
      </c>
      <c r="CZ16" s="1">
        <f t="shared" si="60"/>
        <v>2.9239766081871343E-3</v>
      </c>
      <c r="DA16" s="1">
        <f t="shared" si="61"/>
        <v>0.27777777777777779</v>
      </c>
      <c r="DF16" s="1">
        <f t="shared" si="62"/>
        <v>95</v>
      </c>
      <c r="DG16" s="1">
        <v>13</v>
      </c>
      <c r="DH16" s="1">
        <f t="shared" si="63"/>
        <v>1.0526315789473684E-2</v>
      </c>
      <c r="DI16" s="1">
        <f t="shared" si="64"/>
        <v>7.6923076923076927E-2</v>
      </c>
      <c r="DJ16" s="1">
        <f t="shared" si="65"/>
        <v>0.13684210526315788</v>
      </c>
      <c r="DK16" s="1">
        <f t="shared" si="66"/>
        <v>0.15853658536585363</v>
      </c>
      <c r="DL16" s="1">
        <f t="shared" si="67"/>
        <v>15.060975609756095</v>
      </c>
      <c r="DM16" s="1">
        <f t="shared" si="68"/>
        <v>2.1694480102695757E-2</v>
      </c>
      <c r="DN16" s="1">
        <f t="shared" si="69"/>
        <v>2.0609756097560967</v>
      </c>
      <c r="DP16" s="1">
        <f t="shared" si="5"/>
        <v>68.455960867855651</v>
      </c>
      <c r="DS16" s="1">
        <f>DF16/DQ8</f>
        <v>100</v>
      </c>
      <c r="DT16" s="1">
        <v>3</v>
      </c>
      <c r="DU16" s="1">
        <f t="shared" si="70"/>
        <v>0.01</v>
      </c>
      <c r="DV16" s="1">
        <f t="shared" si="71"/>
        <v>0.33333333333333331</v>
      </c>
      <c r="DW16" s="1">
        <f t="shared" si="72"/>
        <v>3.0000000000000002E-2</v>
      </c>
      <c r="DX16" s="1">
        <f t="shared" si="73"/>
        <v>3.0927835051546396E-2</v>
      </c>
      <c r="DY16" s="1">
        <f t="shared" si="74"/>
        <v>3.0927835051546397</v>
      </c>
      <c r="DZ16" s="1">
        <f t="shared" si="75"/>
        <v>9.2783505154639401E-4</v>
      </c>
      <c r="EA16" s="1">
        <f t="shared" si="76"/>
        <v>9.2783505154639401E-2</v>
      </c>
      <c r="EF16" s="1">
        <f t="shared" si="77"/>
        <v>200</v>
      </c>
      <c r="EG16" s="1">
        <v>3</v>
      </c>
      <c r="EH16" s="1">
        <f t="shared" si="78"/>
        <v>5.0000000000000001E-3</v>
      </c>
      <c r="EI16" s="1">
        <f t="shared" si="79"/>
        <v>0.33333333333333331</v>
      </c>
      <c r="EJ16" s="1">
        <f t="shared" si="80"/>
        <v>1.5000000000000001E-2</v>
      </c>
      <c r="EK16" s="1">
        <f t="shared" si="81"/>
        <v>1.5228426395939087E-2</v>
      </c>
      <c r="EL16" s="1">
        <f t="shared" si="82"/>
        <v>3.0456852791878175</v>
      </c>
      <c r="EM16" s="1">
        <f t="shared" si="83"/>
        <v>2.2842639593908566E-4</v>
      </c>
      <c r="EN16" s="1">
        <f t="shared" si="84"/>
        <v>4.5685279187817132E-2</v>
      </c>
      <c r="ES16" s="1">
        <f t="shared" si="85"/>
        <v>200</v>
      </c>
      <c r="ET16" s="1">
        <v>3</v>
      </c>
      <c r="EU16" s="1">
        <f t="shared" si="86"/>
        <v>5.0000000000000001E-3</v>
      </c>
      <c r="EV16" s="1">
        <f t="shared" si="87"/>
        <v>0.33333333333333331</v>
      </c>
      <c r="EW16" s="1">
        <f t="shared" si="88"/>
        <v>1.5000000000000001E-2</v>
      </c>
      <c r="EX16" s="1">
        <f t="shared" si="89"/>
        <v>1.5228426395939087E-2</v>
      </c>
      <c r="EY16" s="1">
        <f t="shared" si="90"/>
        <v>3.0456852791878175</v>
      </c>
      <c r="EZ16" s="1">
        <f t="shared" si="91"/>
        <v>2.2842639593908566E-4</v>
      </c>
      <c r="FA16" s="1">
        <f t="shared" si="92"/>
        <v>4.5685279187817132E-2</v>
      </c>
      <c r="FF16" s="1">
        <f t="shared" si="93"/>
        <v>100</v>
      </c>
      <c r="FG16" s="1">
        <v>5</v>
      </c>
      <c r="FH16" s="1">
        <f t="shared" si="94"/>
        <v>0.01</v>
      </c>
      <c r="FI16" s="1">
        <f t="shared" si="95"/>
        <v>0.2</v>
      </c>
      <c r="FJ16" s="1">
        <f t="shared" si="96"/>
        <v>4.9999999999999996E-2</v>
      </c>
      <c r="FK16" s="1">
        <f t="shared" si="97"/>
        <v>5.2631578947368418E-2</v>
      </c>
      <c r="FL16" s="1">
        <f t="shared" si="98"/>
        <v>5.2631578947368416</v>
      </c>
      <c r="FM16" s="1">
        <f t="shared" si="99"/>
        <v>2.6315789473684223E-3</v>
      </c>
      <c r="FN16" s="1">
        <f t="shared" si="100"/>
        <v>0.2631578947368422</v>
      </c>
      <c r="FS16" s="1">
        <f t="shared" si="101"/>
        <v>100</v>
      </c>
      <c r="FT16" s="1">
        <v>8</v>
      </c>
      <c r="FU16" s="1">
        <f t="shared" si="102"/>
        <v>0.01</v>
      </c>
      <c r="FV16" s="1">
        <f t="shared" si="103"/>
        <v>0.125</v>
      </c>
      <c r="FW16" s="1">
        <f t="shared" si="104"/>
        <v>0.08</v>
      </c>
      <c r="FX16" s="1">
        <f t="shared" si="105"/>
        <v>8.6956521739130432E-2</v>
      </c>
      <c r="FY16" s="1">
        <f t="shared" si="106"/>
        <v>8.695652173913043</v>
      </c>
      <c r="FZ16" s="1">
        <f t="shared" si="107"/>
        <v>6.9565217391304307E-3</v>
      </c>
      <c r="GA16" s="1">
        <f t="shared" si="108"/>
        <v>0.69565217391304301</v>
      </c>
      <c r="GD16" s="1">
        <v>100</v>
      </c>
      <c r="GE16" s="1">
        <f t="shared" si="114"/>
        <v>103.08714887535189</v>
      </c>
      <c r="GF16" s="1">
        <v>101.83</v>
      </c>
      <c r="GI16" s="1">
        <v>100</v>
      </c>
      <c r="GJ16" s="1">
        <f t="shared" si="109"/>
        <v>68.455960867855651</v>
      </c>
      <c r="GK16" s="1">
        <v>0.05</v>
      </c>
      <c r="GL16" s="1">
        <f t="shared" si="110"/>
        <v>3.4227980433927829</v>
      </c>
      <c r="GM16" s="1">
        <f t="shared" si="111"/>
        <v>71.87875891124844</v>
      </c>
    </row>
    <row r="20" spans="2:195" x14ac:dyDescent="0.3">
      <c r="BF20" s="5" t="s">
        <v>29</v>
      </c>
      <c r="BG20" s="5"/>
      <c r="BH20" s="5"/>
      <c r="BI20" s="5"/>
      <c r="BJ20" s="5"/>
      <c r="BK20" s="5"/>
      <c r="BL20" s="5"/>
      <c r="BM20" s="5"/>
      <c r="BN20" s="5"/>
      <c r="CC20" s="1" t="s">
        <v>33</v>
      </c>
      <c r="CF20" s="5" t="s">
        <v>28</v>
      </c>
      <c r="CG20" s="5"/>
      <c r="CH20" s="5"/>
      <c r="CI20" s="5"/>
      <c r="CJ20" s="5"/>
      <c r="CK20" s="5"/>
      <c r="CL20" s="5"/>
      <c r="CM20" s="5"/>
      <c r="CN20" s="5"/>
      <c r="DP20" s="1" t="s">
        <v>33</v>
      </c>
      <c r="GE20" t="s">
        <v>41</v>
      </c>
      <c r="GI20" s="5" t="s">
        <v>43</v>
      </c>
      <c r="GJ20" s="5"/>
      <c r="GK20" s="5"/>
      <c r="GL20" s="5"/>
      <c r="GM20" s="5"/>
    </row>
    <row r="21" spans="2:195" x14ac:dyDescent="0.3">
      <c r="BF21" s="1" t="s">
        <v>4</v>
      </c>
      <c r="BG21" s="1" t="s">
        <v>5</v>
      </c>
      <c r="BH21" s="1" t="s">
        <v>6</v>
      </c>
      <c r="BI21" s="1" t="s">
        <v>7</v>
      </c>
      <c r="BJ21" s="1" t="s">
        <v>8</v>
      </c>
      <c r="BK21" s="1" t="s">
        <v>9</v>
      </c>
      <c r="BL21" s="1" t="s">
        <v>10</v>
      </c>
      <c r="BM21" s="1" t="s">
        <v>11</v>
      </c>
      <c r="BN21" s="1" t="s">
        <v>12</v>
      </c>
      <c r="CC21" s="1" t="s">
        <v>27</v>
      </c>
      <c r="CF21" s="1" t="s">
        <v>4</v>
      </c>
      <c r="CG21" s="1" t="s">
        <v>5</v>
      </c>
      <c r="CH21" s="1" t="s">
        <v>6</v>
      </c>
      <c r="CI21" s="1" t="s">
        <v>7</v>
      </c>
      <c r="CJ21" s="1" t="s">
        <v>8</v>
      </c>
      <c r="CK21" s="1" t="s">
        <v>9</v>
      </c>
      <c r="CL21" s="1" t="s">
        <v>10</v>
      </c>
      <c r="CM21" s="1" t="s">
        <v>11</v>
      </c>
      <c r="CN21" s="1" t="s">
        <v>12</v>
      </c>
      <c r="DP21" s="1" t="s">
        <v>34</v>
      </c>
      <c r="GD21" s="1" t="s">
        <v>0</v>
      </c>
      <c r="GE21" s="1" t="s">
        <v>32</v>
      </c>
      <c r="GI21" s="1" t="s">
        <v>0</v>
      </c>
      <c r="GJ21" s="1" t="s">
        <v>36</v>
      </c>
      <c r="GK21" s="1" t="s">
        <v>39</v>
      </c>
      <c r="GL21" s="1" t="s">
        <v>37</v>
      </c>
      <c r="GM21" s="1" t="s">
        <v>38</v>
      </c>
    </row>
    <row r="22" spans="2:195" x14ac:dyDescent="0.3">
      <c r="BF22" s="1">
        <f>AS7</f>
        <v>9.5</v>
      </c>
      <c r="BG22" s="1">
        <v>16</v>
      </c>
      <c r="BH22" s="1">
        <f>1/BF22</f>
        <v>0.10526315789473684</v>
      </c>
      <c r="BI22" s="1">
        <f>1/BG22</f>
        <v>6.25E-2</v>
      </c>
      <c r="BJ22" s="1">
        <f>BH22/BI22</f>
        <v>1.6842105263157894</v>
      </c>
      <c r="BK22" s="1">
        <f>BJ22/(1-BJ22)</f>
        <v>-2.4615384615384617</v>
      </c>
      <c r="BL22" s="1">
        <f>BK22/BH22</f>
        <v>-23.384615384615387</v>
      </c>
      <c r="BM22" s="1">
        <f>BK22-BJ22</f>
        <v>-4.1457489878542511</v>
      </c>
      <c r="BN22" s="1">
        <f>BM22/BH22</f>
        <v>-39.384615384615387</v>
      </c>
      <c r="CC22" s="1">
        <f>(BL22+BY7)-1/((1/BL22)+(1/BY7))</f>
        <v>-192.5626975763964</v>
      </c>
      <c r="CF22" s="1">
        <f>BF7</f>
        <v>9.5</v>
      </c>
      <c r="CG22" s="1">
        <v>16</v>
      </c>
      <c r="CH22" s="1">
        <f>1/CF22</f>
        <v>0.10526315789473684</v>
      </c>
      <c r="CI22" s="1">
        <f>1/CG22</f>
        <v>6.25E-2</v>
      </c>
      <c r="CJ22" s="1">
        <f>CH22/CI22</f>
        <v>1.6842105263157894</v>
      </c>
      <c r="CK22" s="1">
        <f>CJ22/(1-CJ22)</f>
        <v>-2.4615384615384617</v>
      </c>
      <c r="CL22" s="1">
        <f>CK22/CH22</f>
        <v>-23.384615384615387</v>
      </c>
      <c r="CM22" s="1">
        <f>CK22-CJ22</f>
        <v>-4.1457489878542511</v>
      </c>
      <c r="CN22" s="1">
        <f>CM22/CH22</f>
        <v>-39.384615384615387</v>
      </c>
      <c r="DP22" s="1">
        <f t="shared" ref="DP22:DP23" si="115">Y7+(AL7*$AD$8)+AY7+CC22+CL22+CY7+DL7</f>
        <v>-218.75207486577372</v>
      </c>
      <c r="GD22" s="1">
        <v>10</v>
      </c>
      <c r="GE22" s="1" t="e">
        <f t="shared" ref="GE22:GE23" si="116">L7+Y7+(AL7*$AD$8)+AY7+CC22+CL22+CY7+DL7+DY7+(EL7*$ED$8)+(EY7*$EQ$8)+FL7+FY7+(DP22*$Q$11)</f>
        <v>#DIV/0!</v>
      </c>
      <c r="GI22" s="1">
        <v>10</v>
      </c>
      <c r="GJ22" s="1">
        <f>DP22</f>
        <v>-218.75207486577372</v>
      </c>
      <c r="GK22" s="1">
        <v>0.05</v>
      </c>
      <c r="GL22" s="1">
        <f>GJ22*GK22</f>
        <v>-10.937603743288687</v>
      </c>
      <c r="GM22" s="1">
        <f>GJ22+GL22</f>
        <v>-229.68967860906241</v>
      </c>
    </row>
    <row r="23" spans="2:195" x14ac:dyDescent="0.3">
      <c r="BF23" s="1">
        <f t="shared" ref="BF23:BF31" si="117">AS8</f>
        <v>14.25</v>
      </c>
      <c r="BG23" s="1">
        <v>16</v>
      </c>
      <c r="BH23" s="1">
        <f t="shared" ref="BH23:BH31" si="118">1/BF23</f>
        <v>7.0175438596491224E-2</v>
      </c>
      <c r="BI23" s="1">
        <f t="shared" ref="BI23:BI31" si="119">1/BG23</f>
        <v>6.25E-2</v>
      </c>
      <c r="BJ23" s="1">
        <f t="shared" ref="BJ23:BJ31" si="120">BH23/BI23</f>
        <v>1.1228070175438596</v>
      </c>
      <c r="BK23" s="1">
        <f t="shared" ref="BK23:BK31" si="121">BJ23/(1-BJ23)</f>
        <v>-9.1428571428571477</v>
      </c>
      <c r="BL23" s="1">
        <f t="shared" ref="BL23:BL31" si="122">BK23/BH23</f>
        <v>-130.28571428571436</v>
      </c>
      <c r="BM23" s="1">
        <f t="shared" ref="BM23:BM31" si="123">BK23-BJ23</f>
        <v>-10.265664160401007</v>
      </c>
      <c r="BN23" s="1">
        <f t="shared" ref="BN23:BN31" si="124">BM23/BH23</f>
        <v>-146.28571428571436</v>
      </c>
      <c r="CC23" s="1">
        <f t="shared" ref="CC23:CC31" si="125">(BL23+BY8)-1/((1/BL23)+(1/BY8))</f>
        <v>-141.9048173724936</v>
      </c>
      <c r="CF23" s="1">
        <f>BF8</f>
        <v>14.25</v>
      </c>
      <c r="CG23" s="1">
        <v>16</v>
      </c>
      <c r="CH23" s="1">
        <f t="shared" ref="CH23:CH31" si="126">1/CF23</f>
        <v>7.0175438596491224E-2</v>
      </c>
      <c r="CI23" s="1">
        <f t="shared" ref="CI23:CI31" si="127">1/CG23</f>
        <v>6.25E-2</v>
      </c>
      <c r="CJ23" s="1">
        <f t="shared" ref="CJ23:CJ31" si="128">CH23/CI23</f>
        <v>1.1228070175438596</v>
      </c>
      <c r="CK23" s="1">
        <f t="shared" ref="CK23:CK31" si="129">CJ23/(1-CJ23)</f>
        <v>-9.1428571428571477</v>
      </c>
      <c r="CL23" s="1">
        <f t="shared" ref="CL23:CL31" si="130">CK23/CH23</f>
        <v>-130.28571428571436</v>
      </c>
      <c r="CM23" s="1">
        <f t="shared" ref="CM23:CM31" si="131">CK23-CJ23</f>
        <v>-10.265664160401007</v>
      </c>
      <c r="CN23" s="1">
        <f t="shared" ref="CN23:CN31" si="132">CM23/CH23</f>
        <v>-146.28571428571436</v>
      </c>
      <c r="DP23" s="1">
        <f t="shared" si="115"/>
        <v>-100.09075688343327</v>
      </c>
      <c r="GD23" s="1">
        <v>15</v>
      </c>
      <c r="GE23" s="1">
        <f t="shared" si="116"/>
        <v>-43.369104251414456</v>
      </c>
      <c r="GI23" s="1">
        <v>15</v>
      </c>
      <c r="GJ23" s="1">
        <f t="shared" ref="GJ23:GJ31" si="133">DP23</f>
        <v>-100.09075688343327</v>
      </c>
      <c r="GK23" s="1">
        <v>0.05</v>
      </c>
      <c r="GL23" s="1">
        <f t="shared" ref="GL23:GL31" si="134">GJ23*GK23</f>
        <v>-5.0045378441716641</v>
      </c>
      <c r="GM23" s="1">
        <f t="shared" ref="GM23:GM31" si="135">GJ23+GL23</f>
        <v>-105.09529472760494</v>
      </c>
    </row>
    <row r="24" spans="2:195" x14ac:dyDescent="0.3">
      <c r="B24" s="6"/>
      <c r="C24" s="6"/>
      <c r="BF24" s="2">
        <f t="shared" si="117"/>
        <v>19</v>
      </c>
      <c r="BG24" s="2">
        <v>16</v>
      </c>
      <c r="BH24" s="2">
        <f t="shared" si="118"/>
        <v>5.2631578947368418E-2</v>
      </c>
      <c r="BI24" s="2">
        <f t="shared" si="119"/>
        <v>6.25E-2</v>
      </c>
      <c r="BJ24" s="2">
        <f t="shared" si="120"/>
        <v>0.84210526315789469</v>
      </c>
      <c r="BK24" s="2">
        <f t="shared" si="121"/>
        <v>5.3333333333333313</v>
      </c>
      <c r="BL24" s="2">
        <f t="shared" si="122"/>
        <v>101.3333333333333</v>
      </c>
      <c r="BM24" s="2">
        <f t="shared" si="123"/>
        <v>4.4912280701754366</v>
      </c>
      <c r="BN24" s="2">
        <f t="shared" si="124"/>
        <v>85.3333333333333</v>
      </c>
      <c r="CC24" s="2">
        <f t="shared" si="125"/>
        <v>104.97318007662832</v>
      </c>
      <c r="CF24" s="2">
        <f>BF9</f>
        <v>19</v>
      </c>
      <c r="CG24" s="2">
        <v>16</v>
      </c>
      <c r="CH24" s="2">
        <f t="shared" si="126"/>
        <v>5.2631578947368418E-2</v>
      </c>
      <c r="CI24" s="2">
        <f t="shared" si="127"/>
        <v>6.25E-2</v>
      </c>
      <c r="CJ24" s="2">
        <f t="shared" si="128"/>
        <v>0.84210526315789469</v>
      </c>
      <c r="CK24" s="2">
        <f t="shared" si="129"/>
        <v>5.3333333333333313</v>
      </c>
      <c r="CL24" s="2">
        <f t="shared" si="130"/>
        <v>101.3333333333333</v>
      </c>
      <c r="CM24" s="2">
        <f t="shared" si="131"/>
        <v>4.4912280701754366</v>
      </c>
      <c r="CN24" s="2">
        <f t="shared" si="132"/>
        <v>85.3333333333333</v>
      </c>
      <c r="DP24" s="1">
        <f>Y9+(AL9*$AD$8)+AY9+CC24+CL24+CY9+DL9</f>
        <v>268.61114485157935</v>
      </c>
      <c r="GD24" s="2">
        <v>20</v>
      </c>
      <c r="GE24" s="2">
        <f>L9+Y9+(AL9*$AD$8)+AY9+CC24+CL24+CY9+DL9+DY9+(EL9*$ED$8)+(EY9*$EQ$8)+FL9+FY9+(DP24*$Q$11)</f>
        <v>328.81435710210735</v>
      </c>
      <c r="GI24" s="2">
        <v>20</v>
      </c>
      <c r="GJ24" s="2">
        <f>DP24</f>
        <v>268.61114485157935</v>
      </c>
      <c r="GK24" s="2">
        <v>0.05</v>
      </c>
      <c r="GL24" s="2">
        <f t="shared" si="134"/>
        <v>13.430557242578969</v>
      </c>
      <c r="GM24" s="2">
        <f t="shared" si="135"/>
        <v>282.04170209415832</v>
      </c>
    </row>
    <row r="25" spans="2:195" x14ac:dyDescent="0.3">
      <c r="BF25" s="1">
        <f t="shared" si="117"/>
        <v>23.75</v>
      </c>
      <c r="BG25" s="1">
        <v>16</v>
      </c>
      <c r="BH25" s="1">
        <f t="shared" si="118"/>
        <v>4.2105263157894736E-2</v>
      </c>
      <c r="BI25" s="1">
        <f t="shared" si="119"/>
        <v>6.25E-2</v>
      </c>
      <c r="BJ25" s="1">
        <f t="shared" si="120"/>
        <v>0.67368421052631577</v>
      </c>
      <c r="BK25" s="1">
        <f t="shared" si="121"/>
        <v>2.064516129032258</v>
      </c>
      <c r="BL25" s="1">
        <f t="shared" si="122"/>
        <v>49.032258064516128</v>
      </c>
      <c r="BM25" s="1">
        <f t="shared" si="123"/>
        <v>1.3908319185059423</v>
      </c>
      <c r="BN25" s="1">
        <f t="shared" si="124"/>
        <v>33.032258064516128</v>
      </c>
      <c r="CC25" s="1">
        <f t="shared" si="125"/>
        <v>53.531876093545918</v>
      </c>
      <c r="CF25" s="1">
        <f t="shared" ref="CF25:CF31" si="136">BF10</f>
        <v>23.75</v>
      </c>
      <c r="CG25" s="1">
        <v>16</v>
      </c>
      <c r="CH25" s="1">
        <f t="shared" si="126"/>
        <v>4.2105263157894736E-2</v>
      </c>
      <c r="CI25" s="1">
        <f t="shared" si="127"/>
        <v>6.25E-2</v>
      </c>
      <c r="CJ25" s="1">
        <f t="shared" si="128"/>
        <v>0.67368421052631577</v>
      </c>
      <c r="CK25" s="1">
        <f t="shared" si="129"/>
        <v>2.064516129032258</v>
      </c>
      <c r="CL25" s="1">
        <f t="shared" si="130"/>
        <v>49.032258064516128</v>
      </c>
      <c r="CM25" s="1">
        <f t="shared" si="131"/>
        <v>1.3908319185059423</v>
      </c>
      <c r="CN25" s="1">
        <f t="shared" si="132"/>
        <v>33.032258064516128</v>
      </c>
      <c r="DP25" s="1">
        <f t="shared" ref="DP25:DP31" si="137">Y10+(AL10*$AD$8)+AY10+CC25+CL25+CY10+DL10</f>
        <v>151.05952091235929</v>
      </c>
      <c r="GD25" s="1">
        <v>25</v>
      </c>
      <c r="GE25" s="1">
        <f t="shared" ref="GE25:GE31" si="138">L10+Y10+(AL10*$AD$8)+AY10+CC25+CL25+CY10+DL10+DY10+(EL10*$ED$8)+(EY10*$EQ$8)+FL10+FY10+(DP25*$Q$11)</f>
        <v>199.8944497777899</v>
      </c>
      <c r="GI25" s="1">
        <v>25</v>
      </c>
      <c r="GJ25" s="1">
        <f t="shared" si="133"/>
        <v>151.05952091235929</v>
      </c>
      <c r="GK25" s="1">
        <v>0.05</v>
      </c>
      <c r="GL25" s="1">
        <f t="shared" si="134"/>
        <v>7.5529760456179647</v>
      </c>
      <c r="GM25" s="1">
        <f t="shared" si="135"/>
        <v>158.61249695797724</v>
      </c>
    </row>
    <row r="26" spans="2:195" x14ac:dyDescent="0.3">
      <c r="BF26" s="1">
        <f t="shared" si="117"/>
        <v>28.5</v>
      </c>
      <c r="BG26" s="1">
        <v>16</v>
      </c>
      <c r="BH26" s="1">
        <f t="shared" si="118"/>
        <v>3.5087719298245612E-2</v>
      </c>
      <c r="BI26" s="1">
        <f t="shared" si="119"/>
        <v>6.25E-2</v>
      </c>
      <c r="BJ26" s="1">
        <f t="shared" si="120"/>
        <v>0.56140350877192979</v>
      </c>
      <c r="BK26" s="1">
        <f t="shared" si="121"/>
        <v>1.2799999999999998</v>
      </c>
      <c r="BL26" s="1">
        <f t="shared" si="122"/>
        <v>36.479999999999997</v>
      </c>
      <c r="BM26" s="1">
        <f t="shared" si="123"/>
        <v>0.71859649122807001</v>
      </c>
      <c r="BN26" s="1">
        <f t="shared" si="124"/>
        <v>20.479999999999997</v>
      </c>
      <c r="CC26" s="1">
        <f t="shared" si="125"/>
        <v>41.054051486165498</v>
      </c>
      <c r="CF26" s="1">
        <f t="shared" si="136"/>
        <v>28.5</v>
      </c>
      <c r="CG26" s="1">
        <v>16</v>
      </c>
      <c r="CH26" s="1">
        <f t="shared" si="126"/>
        <v>3.5087719298245612E-2</v>
      </c>
      <c r="CI26" s="1">
        <f t="shared" si="127"/>
        <v>6.25E-2</v>
      </c>
      <c r="CJ26" s="1">
        <f t="shared" si="128"/>
        <v>0.56140350877192979</v>
      </c>
      <c r="CK26" s="1">
        <f t="shared" si="129"/>
        <v>1.2799999999999998</v>
      </c>
      <c r="CL26" s="1">
        <f t="shared" si="130"/>
        <v>36.479999999999997</v>
      </c>
      <c r="CM26" s="1">
        <f t="shared" si="131"/>
        <v>0.71859649122807001</v>
      </c>
      <c r="CN26" s="1">
        <f t="shared" si="132"/>
        <v>20.479999999999997</v>
      </c>
      <c r="DP26" s="1">
        <f t="shared" si="137"/>
        <v>120.39903692458951</v>
      </c>
      <c r="GD26" s="1">
        <v>30</v>
      </c>
      <c r="GE26" s="1">
        <f t="shared" si="138"/>
        <v>164.8193077500853</v>
      </c>
      <c r="GI26" s="1">
        <v>30</v>
      </c>
      <c r="GJ26" s="1">
        <f t="shared" si="133"/>
        <v>120.39903692458951</v>
      </c>
      <c r="GK26" s="1">
        <v>0.05</v>
      </c>
      <c r="GL26" s="1">
        <f t="shared" si="134"/>
        <v>6.0199518462294757</v>
      </c>
      <c r="GM26" s="1">
        <f t="shared" si="135"/>
        <v>126.41898877081898</v>
      </c>
    </row>
    <row r="27" spans="2:195" x14ac:dyDescent="0.3">
      <c r="BF27" s="1">
        <f t="shared" si="117"/>
        <v>42.75</v>
      </c>
      <c r="BG27" s="1">
        <v>16</v>
      </c>
      <c r="BH27" s="1">
        <f t="shared" si="118"/>
        <v>2.3391812865497075E-2</v>
      </c>
      <c r="BI27" s="1">
        <f t="shared" si="119"/>
        <v>6.25E-2</v>
      </c>
      <c r="BJ27" s="1">
        <f t="shared" si="120"/>
        <v>0.3742690058479532</v>
      </c>
      <c r="BK27" s="1">
        <f t="shared" si="121"/>
        <v>0.59813084112149528</v>
      </c>
      <c r="BL27" s="1">
        <f t="shared" si="122"/>
        <v>25.570093457943926</v>
      </c>
      <c r="BM27" s="1">
        <f t="shared" si="123"/>
        <v>0.22386183527354209</v>
      </c>
      <c r="BN27" s="1">
        <f t="shared" si="124"/>
        <v>9.5700934579439245</v>
      </c>
      <c r="CC27" s="1">
        <f t="shared" si="125"/>
        <v>29.981709242062394</v>
      </c>
      <c r="CF27" s="1">
        <f t="shared" si="136"/>
        <v>42.75</v>
      </c>
      <c r="CG27" s="1">
        <v>16</v>
      </c>
      <c r="CH27" s="1">
        <f t="shared" si="126"/>
        <v>2.3391812865497075E-2</v>
      </c>
      <c r="CI27" s="1">
        <f t="shared" si="127"/>
        <v>6.25E-2</v>
      </c>
      <c r="CJ27" s="1">
        <f t="shared" si="128"/>
        <v>0.3742690058479532</v>
      </c>
      <c r="CK27" s="1">
        <f t="shared" si="129"/>
        <v>0.59813084112149528</v>
      </c>
      <c r="CL27" s="1">
        <f t="shared" si="130"/>
        <v>25.570093457943926</v>
      </c>
      <c r="CM27" s="1">
        <f t="shared" si="131"/>
        <v>0.22386183527354209</v>
      </c>
      <c r="CN27" s="1">
        <f t="shared" si="132"/>
        <v>9.5700934579439245</v>
      </c>
      <c r="DP27" s="1">
        <f t="shared" si="137"/>
        <v>91.982622792944142</v>
      </c>
      <c r="GD27" s="1">
        <v>45</v>
      </c>
      <c r="GE27" s="1">
        <f t="shared" si="138"/>
        <v>131.1113605096117</v>
      </c>
      <c r="GI27" s="1">
        <v>45</v>
      </c>
      <c r="GJ27" s="1">
        <f t="shared" si="133"/>
        <v>91.982622792944142</v>
      </c>
      <c r="GK27" s="1">
        <v>0.05</v>
      </c>
      <c r="GL27" s="1">
        <f t="shared" si="134"/>
        <v>4.5991311396472074</v>
      </c>
      <c r="GM27" s="1">
        <f t="shared" si="135"/>
        <v>96.581753932591354</v>
      </c>
    </row>
    <row r="28" spans="2:195" x14ac:dyDescent="0.3">
      <c r="BF28" s="1">
        <f t="shared" si="117"/>
        <v>57</v>
      </c>
      <c r="BG28" s="1">
        <v>16</v>
      </c>
      <c r="BH28" s="1">
        <f t="shared" si="118"/>
        <v>1.7543859649122806E-2</v>
      </c>
      <c r="BI28" s="1">
        <f t="shared" si="119"/>
        <v>6.25E-2</v>
      </c>
      <c r="BJ28" s="1">
        <f t="shared" si="120"/>
        <v>0.2807017543859649</v>
      </c>
      <c r="BK28" s="1">
        <f t="shared" si="121"/>
        <v>0.39024390243902435</v>
      </c>
      <c r="BL28" s="1">
        <f t="shared" si="122"/>
        <v>22.243902439024389</v>
      </c>
      <c r="BM28" s="1">
        <f t="shared" si="123"/>
        <v>0.10954214805305945</v>
      </c>
      <c r="BN28" s="1">
        <f t="shared" si="124"/>
        <v>6.2439024390243887</v>
      </c>
      <c r="CC28" s="1">
        <f t="shared" si="125"/>
        <v>26.523025008328961</v>
      </c>
      <c r="CF28" s="1">
        <f t="shared" si="136"/>
        <v>57</v>
      </c>
      <c r="CG28" s="1">
        <v>16</v>
      </c>
      <c r="CH28" s="1">
        <f t="shared" si="126"/>
        <v>1.7543859649122806E-2</v>
      </c>
      <c r="CI28" s="1">
        <f t="shared" si="127"/>
        <v>6.25E-2</v>
      </c>
      <c r="CJ28" s="1">
        <f t="shared" si="128"/>
        <v>0.2807017543859649</v>
      </c>
      <c r="CK28" s="1">
        <f t="shared" si="129"/>
        <v>0.39024390243902435</v>
      </c>
      <c r="CL28" s="1">
        <f t="shared" si="130"/>
        <v>22.243902439024389</v>
      </c>
      <c r="CM28" s="1">
        <f t="shared" si="131"/>
        <v>0.10954214805305945</v>
      </c>
      <c r="CN28" s="1">
        <f t="shared" si="132"/>
        <v>6.2439024390243887</v>
      </c>
      <c r="DP28" s="1">
        <f t="shared" si="137"/>
        <v>82.810144230570131</v>
      </c>
      <c r="GD28" s="1">
        <v>60</v>
      </c>
      <c r="GE28" s="1">
        <f t="shared" si="138"/>
        <v>119.87078394117849</v>
      </c>
      <c r="GI28" s="1">
        <v>60</v>
      </c>
      <c r="GJ28" s="1">
        <f t="shared" si="133"/>
        <v>82.810144230570131</v>
      </c>
      <c r="GK28" s="1">
        <v>0.05</v>
      </c>
      <c r="GL28" s="1">
        <f t="shared" si="134"/>
        <v>4.1405072115285071</v>
      </c>
      <c r="GM28" s="1">
        <f t="shared" si="135"/>
        <v>86.950651442098632</v>
      </c>
    </row>
    <row r="29" spans="2:195" x14ac:dyDescent="0.3">
      <c r="BF29" s="1">
        <f t="shared" si="117"/>
        <v>71.25</v>
      </c>
      <c r="BG29" s="1">
        <v>16</v>
      </c>
      <c r="BH29" s="1">
        <f t="shared" si="118"/>
        <v>1.4035087719298246E-2</v>
      </c>
      <c r="BI29" s="1">
        <f t="shared" si="119"/>
        <v>6.25E-2</v>
      </c>
      <c r="BJ29" s="1">
        <f t="shared" si="120"/>
        <v>0.22456140350877193</v>
      </c>
      <c r="BK29" s="1">
        <f t="shared" si="121"/>
        <v>0.2895927601809955</v>
      </c>
      <c r="BL29" s="1">
        <f t="shared" si="122"/>
        <v>20.633484162895929</v>
      </c>
      <c r="BM29" s="1">
        <f t="shared" si="123"/>
        <v>6.5031356672223567E-2</v>
      </c>
      <c r="BN29" s="1">
        <f t="shared" si="124"/>
        <v>4.6334841628959289</v>
      </c>
      <c r="CC29" s="1">
        <f t="shared" si="125"/>
        <v>24.827311775507034</v>
      </c>
      <c r="CF29" s="1">
        <f t="shared" si="136"/>
        <v>71.25</v>
      </c>
      <c r="CG29" s="1">
        <v>16</v>
      </c>
      <c r="CH29" s="1">
        <f t="shared" si="126"/>
        <v>1.4035087719298246E-2</v>
      </c>
      <c r="CI29" s="1">
        <f t="shared" si="127"/>
        <v>6.25E-2</v>
      </c>
      <c r="CJ29" s="1">
        <f t="shared" si="128"/>
        <v>0.22456140350877193</v>
      </c>
      <c r="CK29" s="1">
        <f t="shared" si="129"/>
        <v>0.2895927601809955</v>
      </c>
      <c r="CL29" s="1">
        <f t="shared" si="130"/>
        <v>20.633484162895929</v>
      </c>
      <c r="CM29" s="1">
        <f t="shared" si="131"/>
        <v>6.5031356672223567E-2</v>
      </c>
      <c r="CN29" s="1">
        <f t="shared" si="132"/>
        <v>4.6334841628959289</v>
      </c>
      <c r="DP29" s="1">
        <f t="shared" si="137"/>
        <v>78.252137687153407</v>
      </c>
      <c r="GD29" s="1">
        <v>75</v>
      </c>
      <c r="GE29" s="1">
        <f t="shared" si="138"/>
        <v>114.20179733750841</v>
      </c>
      <c r="GI29" s="1">
        <v>75</v>
      </c>
      <c r="GJ29" s="1">
        <f t="shared" si="133"/>
        <v>78.252137687153407</v>
      </c>
      <c r="GK29" s="1">
        <v>0.05</v>
      </c>
      <c r="GL29" s="1">
        <f t="shared" si="134"/>
        <v>3.9126068843576705</v>
      </c>
      <c r="GM29" s="1">
        <f t="shared" si="135"/>
        <v>82.164744571511079</v>
      </c>
    </row>
    <row r="30" spans="2:195" x14ac:dyDescent="0.3">
      <c r="BF30" s="1">
        <f t="shared" si="117"/>
        <v>85.5</v>
      </c>
      <c r="BG30" s="1">
        <v>16</v>
      </c>
      <c r="BH30" s="1">
        <f t="shared" si="118"/>
        <v>1.1695906432748537E-2</v>
      </c>
      <c r="BI30" s="1">
        <f t="shared" si="119"/>
        <v>6.25E-2</v>
      </c>
      <c r="BJ30" s="1">
        <f t="shared" si="120"/>
        <v>0.1871345029239766</v>
      </c>
      <c r="BK30" s="1">
        <f t="shared" si="121"/>
        <v>0.23021582733812948</v>
      </c>
      <c r="BL30" s="1">
        <f t="shared" si="122"/>
        <v>19.68345323741007</v>
      </c>
      <c r="BM30" s="1">
        <f t="shared" si="123"/>
        <v>4.3081324414152883E-2</v>
      </c>
      <c r="BN30" s="1">
        <f t="shared" si="124"/>
        <v>3.6834532374100717</v>
      </c>
      <c r="CC30" s="1">
        <f t="shared" si="125"/>
        <v>23.819307047880116</v>
      </c>
      <c r="CF30" s="1">
        <f t="shared" si="136"/>
        <v>85.5</v>
      </c>
      <c r="CG30" s="1">
        <v>16</v>
      </c>
      <c r="CH30" s="1">
        <f t="shared" si="126"/>
        <v>1.1695906432748537E-2</v>
      </c>
      <c r="CI30" s="1">
        <f t="shared" si="127"/>
        <v>6.25E-2</v>
      </c>
      <c r="CJ30" s="1">
        <f t="shared" si="128"/>
        <v>0.1871345029239766</v>
      </c>
      <c r="CK30" s="1">
        <f t="shared" si="129"/>
        <v>0.23021582733812948</v>
      </c>
      <c r="CL30" s="1">
        <f t="shared" si="130"/>
        <v>19.68345323741007</v>
      </c>
      <c r="CM30" s="1">
        <f t="shared" si="131"/>
        <v>4.3081324414152883E-2</v>
      </c>
      <c r="CN30" s="1">
        <f t="shared" si="132"/>
        <v>3.6834532374100717</v>
      </c>
      <c r="DP30" s="1">
        <f t="shared" si="137"/>
        <v>75.522108954823935</v>
      </c>
      <c r="GD30" s="1">
        <v>90</v>
      </c>
      <c r="GE30" s="1">
        <f t="shared" si="138"/>
        <v>110.7771155879912</v>
      </c>
      <c r="GI30" s="1">
        <v>90</v>
      </c>
      <c r="GJ30" s="1">
        <f t="shared" si="133"/>
        <v>75.522108954823935</v>
      </c>
      <c r="GK30" s="1">
        <v>0.05</v>
      </c>
      <c r="GL30" s="1">
        <f t="shared" si="134"/>
        <v>3.7761054477411968</v>
      </c>
      <c r="GM30" s="1">
        <f t="shared" si="135"/>
        <v>79.298214402565137</v>
      </c>
    </row>
    <row r="31" spans="2:195" x14ac:dyDescent="0.3">
      <c r="BF31" s="1">
        <f t="shared" si="117"/>
        <v>95</v>
      </c>
      <c r="BG31" s="1">
        <v>16</v>
      </c>
      <c r="BH31" s="1">
        <f t="shared" si="118"/>
        <v>1.0526315789473684E-2</v>
      </c>
      <c r="BI31" s="1">
        <f t="shared" si="119"/>
        <v>6.25E-2</v>
      </c>
      <c r="BJ31" s="1">
        <f t="shared" si="120"/>
        <v>0.16842105263157894</v>
      </c>
      <c r="BK31" s="1">
        <f t="shared" si="121"/>
        <v>0.20253164556962025</v>
      </c>
      <c r="BL31" s="1">
        <f t="shared" si="122"/>
        <v>19.240506329113924</v>
      </c>
      <c r="BM31" s="1">
        <f t="shared" si="123"/>
        <v>3.4110592938041306E-2</v>
      </c>
      <c r="BN31" s="1">
        <f t="shared" si="124"/>
        <v>3.240506329113924</v>
      </c>
      <c r="CC31" s="1">
        <f t="shared" si="125"/>
        <v>23.347209475488754</v>
      </c>
      <c r="CF31" s="1">
        <f t="shared" si="136"/>
        <v>95</v>
      </c>
      <c r="CG31" s="1">
        <v>16</v>
      </c>
      <c r="CH31" s="1">
        <f t="shared" si="126"/>
        <v>1.0526315789473684E-2</v>
      </c>
      <c r="CI31" s="1">
        <f t="shared" si="127"/>
        <v>6.25E-2</v>
      </c>
      <c r="CJ31" s="1">
        <f t="shared" si="128"/>
        <v>0.16842105263157894</v>
      </c>
      <c r="CK31" s="1">
        <f t="shared" si="129"/>
        <v>0.20253164556962025</v>
      </c>
      <c r="CL31" s="1">
        <f t="shared" si="130"/>
        <v>19.240506329113924</v>
      </c>
      <c r="CM31" s="1">
        <f t="shared" si="131"/>
        <v>3.4110592938041306E-2</v>
      </c>
      <c r="CN31" s="1">
        <f t="shared" si="132"/>
        <v>3.240506329113924</v>
      </c>
      <c r="DP31" s="1">
        <f t="shared" si="137"/>
        <v>74.237992917453383</v>
      </c>
      <c r="GD31" s="1">
        <v>100</v>
      </c>
      <c r="GE31" s="1">
        <f t="shared" si="138"/>
        <v>109.15828252742949</v>
      </c>
      <c r="GI31" s="1">
        <v>100</v>
      </c>
      <c r="GJ31" s="1">
        <f t="shared" si="133"/>
        <v>74.237992917453383</v>
      </c>
      <c r="GK31" s="1">
        <v>0.05</v>
      </c>
      <c r="GL31" s="1">
        <f t="shared" si="134"/>
        <v>3.7118996458726694</v>
      </c>
      <c r="GM31" s="1">
        <f t="shared" si="135"/>
        <v>77.949892563326046</v>
      </c>
    </row>
  </sheetData>
  <mergeCells count="20">
    <mergeCell ref="GI20:GM20"/>
    <mergeCell ref="B24:C24"/>
    <mergeCell ref="BF20:BN20"/>
    <mergeCell ref="CF20:CN20"/>
    <mergeCell ref="CF5:CN5"/>
    <mergeCell ref="CS5:DA5"/>
    <mergeCell ref="S5:AA5"/>
    <mergeCell ref="AF5:AN5"/>
    <mergeCell ref="AS5:BA5"/>
    <mergeCell ref="BF5:BN5"/>
    <mergeCell ref="BS5:CA5"/>
    <mergeCell ref="B5:C5"/>
    <mergeCell ref="F5:N5"/>
    <mergeCell ref="GI5:GM5"/>
    <mergeCell ref="ES5:FA5"/>
    <mergeCell ref="FF5:FN5"/>
    <mergeCell ref="FS5:GA5"/>
    <mergeCell ref="DF5:DN5"/>
    <mergeCell ref="DS5:EA5"/>
    <mergeCell ref="EF5:EN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D4A71D1E5DCD4EBB0620D036460161" ma:contentTypeVersion="11" ma:contentTypeDescription="Creare un nuovo documento." ma:contentTypeScope="" ma:versionID="2b676325398a25ecbf57a9442a574f70">
  <xsd:schema xmlns:xsd="http://www.w3.org/2001/XMLSchema" xmlns:xs="http://www.w3.org/2001/XMLSchema" xmlns:p="http://schemas.microsoft.com/office/2006/metadata/properties" xmlns:ns2="c70af4dc-40d9-48d2-964f-0dafa12f0017" xmlns:ns3="799b3e78-6c9a-43e8-89bb-86e5be15d787" targetNamespace="http://schemas.microsoft.com/office/2006/metadata/properties" ma:root="true" ma:fieldsID="ccca6ff5958d5a6c768e69db5718ee8d" ns2:_="" ns3:_="">
    <xsd:import namespace="c70af4dc-40d9-48d2-964f-0dafa12f0017"/>
    <xsd:import namespace="799b3e78-6c9a-43e8-89bb-86e5be15d7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af4dc-40d9-48d2-964f-0dafa12f00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bb21486a-7a0a-4db4-9655-fe3ce8b761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b3e78-6c9a-43e8-89bb-86e5be15d7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c38655-cf4a-42f0-b8bd-3ae31958ff63}" ma:internalName="TaxCatchAll" ma:showField="CatchAllData" ma:web="799b3e78-6c9a-43e8-89bb-86e5be15d7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0af4dc-40d9-48d2-964f-0dafa12f0017">
      <Terms xmlns="http://schemas.microsoft.com/office/infopath/2007/PartnerControls"/>
    </lcf76f155ced4ddcb4097134ff3c332f>
    <TaxCatchAll xmlns="799b3e78-6c9a-43e8-89bb-86e5be15d787" xsi:nil="true"/>
  </documentManagement>
</p:properties>
</file>

<file path=customXml/itemProps1.xml><?xml version="1.0" encoding="utf-8"?>
<ds:datastoreItem xmlns:ds="http://schemas.openxmlformats.org/officeDocument/2006/customXml" ds:itemID="{2D4B802A-55D8-4EE5-8778-7F32C2573A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5F4EDE-AF07-4B86-B1A2-7EBE1E84B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0af4dc-40d9-48d2-964f-0dafa12f0017"/>
    <ds:schemaRef ds:uri="799b3e78-6c9a-43e8-89bb-86e5be15d7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71FD06-B76B-4DA4-9D6B-9324FC7B9F2E}">
  <ds:schemaRefs>
    <ds:schemaRef ds:uri="http://schemas.microsoft.com/office/2006/metadata/properties"/>
    <ds:schemaRef ds:uri="http://schemas.microsoft.com/office/infopath/2007/PartnerControls"/>
    <ds:schemaRef ds:uri="c70af4dc-40d9-48d2-964f-0dafa12f0017"/>
    <ds:schemaRef ds:uri="799b3e78-6c9a-43e8-89bb-86e5be15d7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Langè</dc:creator>
  <cp:lastModifiedBy>Francesco Langè</cp:lastModifiedBy>
  <dcterms:created xsi:type="dcterms:W3CDTF">2024-04-28T09:04:27Z</dcterms:created>
  <dcterms:modified xsi:type="dcterms:W3CDTF">2024-05-21T19:15:47Z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0x0101004FD4A71D1E5DCD4EBB0620D036460161</vt:lpwstr>
  </property>
</Properties>
</file>